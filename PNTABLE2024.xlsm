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/>
  <workbookPr defaultThemeVersion="166925"/>
  <mc:AlternateContent xmlns:mc="http://schemas.openxmlformats.org/markup-compatibility/2006">
    <mc:Choice Requires="x15">
      <x15ac:absPath xmlns:x15ac="http://schemas.microsoft.com/office/spreadsheetml/2010/11/ac" url="S:\USERDATA\Swapnil\Jobs Clock in System\"/>
    </mc:Choice>
  </mc:AlternateContent>
  <xr:revisionPtr revIDLastSave="0" documentId="8_{9740FDEB-EE3B-4BFD-8B6C-1706527551EE}" xr6:coauthVersionLast="47" xr6:coauthVersionMax="47" xr10:uidLastSave="{00000000-0000-0000-0000-000000000000}"/>
  <bookViews>
    <workbookView xWindow="-120" yWindow="-120" windowWidth="20730" windowHeight="11160" xr2:uid="{B2E062A2-721F-4790-BC90-3A4CBFA2F9F9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195" i="1" l="1"/>
  <c r="AC195" i="1"/>
  <c r="AB195" i="1"/>
  <c r="AA195" i="1"/>
  <c r="Z195" i="1"/>
  <c r="Y195" i="1"/>
  <c r="O195" i="1"/>
  <c r="AD194" i="1"/>
  <c r="AC194" i="1"/>
  <c r="AB194" i="1"/>
  <c r="AA194" i="1"/>
  <c r="Z194" i="1"/>
  <c r="Y194" i="1"/>
  <c r="O194" i="1"/>
  <c r="AD193" i="1"/>
  <c r="AC193" i="1"/>
  <c r="AB193" i="1"/>
  <c r="AA193" i="1"/>
  <c r="Z193" i="1"/>
  <c r="Y193" i="1"/>
  <c r="O193" i="1"/>
  <c r="AD192" i="1"/>
  <c r="AC192" i="1"/>
  <c r="AB192" i="1"/>
  <c r="AA192" i="1"/>
  <c r="Z192" i="1"/>
  <c r="Y192" i="1"/>
  <c r="O192" i="1"/>
  <c r="AD191" i="1"/>
  <c r="AC191" i="1"/>
  <c r="AB191" i="1"/>
  <c r="AA191" i="1"/>
  <c r="Z191" i="1"/>
  <c r="Y191" i="1"/>
  <c r="O191" i="1"/>
  <c r="AD190" i="1"/>
  <c r="AC190" i="1"/>
  <c r="AB190" i="1"/>
  <c r="AA190" i="1"/>
  <c r="Z190" i="1"/>
  <c r="Y190" i="1"/>
  <c r="O190" i="1"/>
  <c r="AD189" i="1"/>
  <c r="AC189" i="1"/>
  <c r="AB189" i="1"/>
  <c r="AA189" i="1"/>
  <c r="Z189" i="1"/>
  <c r="Y189" i="1"/>
  <c r="O189" i="1"/>
  <c r="AD188" i="1"/>
  <c r="AC188" i="1"/>
  <c r="AB188" i="1"/>
  <c r="AA188" i="1"/>
  <c r="Z188" i="1"/>
  <c r="Y188" i="1"/>
  <c r="O188" i="1"/>
  <c r="AD187" i="1"/>
  <c r="AC187" i="1"/>
  <c r="AB187" i="1"/>
  <c r="AA187" i="1"/>
  <c r="Z187" i="1"/>
  <c r="Y187" i="1"/>
  <c r="O187" i="1"/>
  <c r="AD186" i="1"/>
  <c r="AC186" i="1"/>
  <c r="AB186" i="1"/>
  <c r="AA186" i="1"/>
  <c r="Z186" i="1"/>
  <c r="Y186" i="1"/>
  <c r="O186" i="1"/>
  <c r="AD185" i="1"/>
  <c r="AC185" i="1"/>
  <c r="AB185" i="1"/>
  <c r="AA185" i="1"/>
  <c r="Z185" i="1"/>
  <c r="Y185" i="1"/>
  <c r="O185" i="1"/>
  <c r="AD184" i="1"/>
  <c r="AC184" i="1"/>
  <c r="AB184" i="1"/>
  <c r="AA184" i="1"/>
  <c r="Z184" i="1"/>
  <c r="Y184" i="1"/>
  <c r="O184" i="1"/>
  <c r="AD183" i="1"/>
  <c r="AC183" i="1"/>
  <c r="AB183" i="1"/>
  <c r="AA183" i="1"/>
  <c r="Z183" i="1"/>
  <c r="Y183" i="1"/>
  <c r="O183" i="1"/>
  <c r="AD182" i="1"/>
  <c r="AC182" i="1"/>
  <c r="AB182" i="1"/>
  <c r="AA182" i="1"/>
  <c r="Z182" i="1"/>
  <c r="Y182" i="1"/>
  <c r="O182" i="1"/>
  <c r="AD181" i="1"/>
  <c r="AC181" i="1"/>
  <c r="AB181" i="1"/>
  <c r="AA181" i="1"/>
  <c r="Z181" i="1"/>
  <c r="Y181" i="1"/>
  <c r="O181" i="1"/>
  <c r="AD180" i="1"/>
  <c r="AC180" i="1"/>
  <c r="AB180" i="1"/>
  <c r="AA180" i="1"/>
  <c r="Z180" i="1"/>
  <c r="Y180" i="1"/>
  <c r="O180" i="1"/>
  <c r="AD179" i="1"/>
  <c r="AC179" i="1"/>
  <c r="AB179" i="1"/>
  <c r="AA179" i="1"/>
  <c r="Z179" i="1"/>
  <c r="Y179" i="1"/>
  <c r="O179" i="1"/>
  <c r="AD178" i="1"/>
  <c r="AC178" i="1"/>
  <c r="AB178" i="1"/>
  <c r="AA178" i="1"/>
  <c r="Z178" i="1"/>
  <c r="Y178" i="1"/>
  <c r="O178" i="1"/>
  <c r="AD177" i="1"/>
  <c r="AC177" i="1"/>
  <c r="AB177" i="1"/>
  <c r="AA177" i="1"/>
  <c r="Z177" i="1"/>
  <c r="Y177" i="1"/>
  <c r="O177" i="1"/>
  <c r="AD176" i="1"/>
  <c r="AC176" i="1"/>
  <c r="AB176" i="1"/>
  <c r="AA176" i="1"/>
  <c r="Z176" i="1"/>
  <c r="Y176" i="1"/>
  <c r="O176" i="1"/>
  <c r="AD175" i="1"/>
  <c r="AC175" i="1"/>
  <c r="AB175" i="1"/>
  <c r="AA175" i="1"/>
  <c r="Z175" i="1"/>
  <c r="Y175" i="1"/>
  <c r="O175" i="1"/>
  <c r="AD174" i="1"/>
  <c r="AC174" i="1"/>
  <c r="AB174" i="1"/>
  <c r="AA174" i="1"/>
  <c r="Z174" i="1"/>
  <c r="Y174" i="1"/>
  <c r="O174" i="1"/>
  <c r="AD173" i="1"/>
  <c r="AC173" i="1"/>
  <c r="AB173" i="1"/>
  <c r="AA173" i="1"/>
  <c r="Z173" i="1"/>
  <c r="Y173" i="1"/>
  <c r="O173" i="1"/>
  <c r="AD172" i="1"/>
  <c r="AC172" i="1"/>
  <c r="AB172" i="1"/>
  <c r="AA172" i="1"/>
  <c r="Z172" i="1"/>
  <c r="Y172" i="1"/>
  <c r="O172" i="1"/>
  <c r="AD171" i="1"/>
  <c r="AC171" i="1"/>
  <c r="AB171" i="1"/>
  <c r="AA171" i="1"/>
  <c r="Z171" i="1"/>
  <c r="Y171" i="1"/>
  <c r="O171" i="1"/>
  <c r="AD170" i="1"/>
  <c r="AC170" i="1"/>
  <c r="AB170" i="1"/>
  <c r="AA170" i="1"/>
  <c r="Z170" i="1"/>
  <c r="Y170" i="1"/>
  <c r="O170" i="1"/>
  <c r="AD169" i="1"/>
  <c r="AC169" i="1"/>
  <c r="AB169" i="1"/>
  <c r="AA169" i="1"/>
  <c r="Z169" i="1"/>
  <c r="Y169" i="1"/>
  <c r="O169" i="1"/>
  <c r="AD168" i="1"/>
  <c r="AC168" i="1"/>
  <c r="AB168" i="1"/>
  <c r="AA168" i="1"/>
  <c r="Z168" i="1"/>
  <c r="Y168" i="1"/>
  <c r="O168" i="1"/>
  <c r="AD167" i="1"/>
  <c r="AC167" i="1"/>
  <c r="AB167" i="1"/>
  <c r="AA167" i="1"/>
  <c r="Z167" i="1"/>
  <c r="Y167" i="1"/>
  <c r="O167" i="1"/>
  <c r="AD166" i="1"/>
  <c r="AC166" i="1"/>
  <c r="AB166" i="1"/>
  <c r="AA166" i="1"/>
  <c r="Z166" i="1"/>
  <c r="Y166" i="1"/>
  <c r="AD165" i="1"/>
  <c r="AC165" i="1"/>
  <c r="AB165" i="1"/>
  <c r="AA165" i="1"/>
  <c r="Z165" i="1"/>
  <c r="Y165" i="1"/>
  <c r="O165" i="1"/>
  <c r="AD164" i="1"/>
  <c r="AC164" i="1"/>
  <c r="AB164" i="1"/>
  <c r="AA164" i="1"/>
  <c r="Z164" i="1"/>
  <c r="Y164" i="1"/>
  <c r="O164" i="1"/>
  <c r="AD163" i="1"/>
  <c r="AC163" i="1"/>
  <c r="AB163" i="1"/>
  <c r="AA163" i="1"/>
  <c r="Z163" i="1"/>
  <c r="Y163" i="1"/>
  <c r="O163" i="1"/>
  <c r="AD162" i="1"/>
  <c r="AC162" i="1"/>
  <c r="AB162" i="1"/>
  <c r="AA162" i="1"/>
  <c r="Z162" i="1"/>
  <c r="Y162" i="1"/>
  <c r="O162" i="1"/>
  <c r="AD161" i="1"/>
  <c r="AC161" i="1"/>
  <c r="AB161" i="1"/>
  <c r="AA161" i="1"/>
  <c r="Z161" i="1"/>
  <c r="Y161" i="1"/>
  <c r="O161" i="1"/>
  <c r="AD160" i="1"/>
  <c r="AC160" i="1"/>
  <c r="AB160" i="1"/>
  <c r="AA160" i="1"/>
  <c r="Z160" i="1"/>
  <c r="Y160" i="1"/>
  <c r="O160" i="1"/>
  <c r="AD159" i="1"/>
  <c r="AC159" i="1"/>
  <c r="AB159" i="1"/>
  <c r="AA159" i="1"/>
  <c r="Z159" i="1"/>
  <c r="Y159" i="1"/>
  <c r="O159" i="1"/>
  <c r="AD158" i="1"/>
  <c r="AC158" i="1"/>
  <c r="AB158" i="1"/>
  <c r="AA158" i="1"/>
  <c r="Z158" i="1"/>
  <c r="Y158" i="1"/>
  <c r="O158" i="1"/>
  <c r="AD157" i="1"/>
  <c r="AC157" i="1"/>
  <c r="AB157" i="1"/>
  <c r="AA157" i="1"/>
  <c r="Z157" i="1"/>
  <c r="Y157" i="1"/>
  <c r="O157" i="1"/>
  <c r="AD156" i="1"/>
  <c r="AC156" i="1"/>
  <c r="AB156" i="1"/>
  <c r="AA156" i="1"/>
  <c r="Z156" i="1"/>
  <c r="Y156" i="1"/>
  <c r="O156" i="1"/>
  <c r="AD155" i="1"/>
  <c r="AC155" i="1"/>
  <c r="AB155" i="1"/>
  <c r="AA155" i="1"/>
  <c r="Z155" i="1"/>
  <c r="Y155" i="1"/>
  <c r="O155" i="1"/>
  <c r="AD154" i="1"/>
  <c r="AC154" i="1"/>
  <c r="AB154" i="1"/>
  <c r="AA154" i="1"/>
  <c r="Z154" i="1"/>
  <c r="Y154" i="1"/>
  <c r="O154" i="1"/>
  <c r="AD153" i="1"/>
  <c r="AC153" i="1"/>
  <c r="AB153" i="1"/>
  <c r="AA153" i="1"/>
  <c r="Z153" i="1"/>
  <c r="Y153" i="1"/>
  <c r="O153" i="1"/>
  <c r="AD152" i="1"/>
  <c r="AC152" i="1"/>
  <c r="AB152" i="1"/>
  <c r="AA152" i="1"/>
  <c r="Z152" i="1"/>
  <c r="Y152" i="1"/>
  <c r="O152" i="1"/>
  <c r="AD151" i="1"/>
  <c r="AC151" i="1"/>
  <c r="AB151" i="1"/>
  <c r="AA151" i="1"/>
  <c r="Z151" i="1"/>
  <c r="Y151" i="1"/>
  <c r="O151" i="1"/>
  <c r="AD150" i="1"/>
  <c r="AC150" i="1"/>
  <c r="AB150" i="1"/>
  <c r="AA150" i="1"/>
  <c r="Z150" i="1"/>
  <c r="Y150" i="1"/>
  <c r="O150" i="1"/>
  <c r="AD149" i="1"/>
  <c r="AC149" i="1"/>
  <c r="AB149" i="1"/>
  <c r="AA149" i="1"/>
  <c r="Z149" i="1"/>
  <c r="Y149" i="1"/>
  <c r="O149" i="1"/>
  <c r="AD148" i="1"/>
  <c r="AC148" i="1"/>
  <c r="AB148" i="1"/>
  <c r="AA148" i="1"/>
  <c r="Z148" i="1"/>
  <c r="Y148" i="1"/>
  <c r="O148" i="1"/>
  <c r="AD147" i="1"/>
  <c r="AC147" i="1"/>
  <c r="AB147" i="1"/>
  <c r="AA147" i="1"/>
  <c r="Z147" i="1"/>
  <c r="Y147" i="1"/>
  <c r="O147" i="1"/>
  <c r="AD146" i="1"/>
  <c r="AC146" i="1"/>
  <c r="AB146" i="1"/>
  <c r="AA146" i="1"/>
  <c r="Z146" i="1"/>
  <c r="Y146" i="1"/>
  <c r="O146" i="1"/>
  <c r="AD145" i="1"/>
  <c r="AC145" i="1"/>
  <c r="AB145" i="1"/>
  <c r="AA145" i="1"/>
  <c r="Z145" i="1"/>
  <c r="Y145" i="1"/>
  <c r="O145" i="1"/>
  <c r="AD144" i="1"/>
  <c r="AC144" i="1"/>
  <c r="AB144" i="1"/>
  <c r="AA144" i="1"/>
  <c r="Z144" i="1"/>
  <c r="Y144" i="1"/>
  <c r="O144" i="1"/>
  <c r="AD143" i="1"/>
  <c r="AC143" i="1"/>
  <c r="AB143" i="1"/>
  <c r="AA143" i="1"/>
  <c r="Z143" i="1"/>
  <c r="Y143" i="1"/>
  <c r="O143" i="1"/>
  <c r="AD142" i="1"/>
  <c r="AC142" i="1"/>
  <c r="AB142" i="1"/>
  <c r="AA142" i="1"/>
  <c r="Z142" i="1"/>
  <c r="Y142" i="1"/>
  <c r="O142" i="1"/>
  <c r="AD141" i="1"/>
  <c r="AC141" i="1"/>
  <c r="AB141" i="1"/>
  <c r="AA141" i="1"/>
  <c r="Z141" i="1"/>
  <c r="Y141" i="1"/>
  <c r="O141" i="1"/>
  <c r="AD140" i="1"/>
  <c r="AC140" i="1"/>
  <c r="AB140" i="1"/>
  <c r="AA140" i="1"/>
  <c r="Z140" i="1"/>
  <c r="Y140" i="1"/>
  <c r="O140" i="1"/>
  <c r="AD139" i="1"/>
  <c r="AC139" i="1"/>
  <c r="AB139" i="1"/>
  <c r="AA139" i="1"/>
  <c r="Z139" i="1"/>
  <c r="Y139" i="1"/>
  <c r="O139" i="1"/>
  <c r="AD138" i="1"/>
  <c r="AC138" i="1"/>
  <c r="AB138" i="1"/>
  <c r="AA138" i="1"/>
  <c r="Z138" i="1"/>
  <c r="Y138" i="1"/>
  <c r="O138" i="1"/>
  <c r="AD137" i="1"/>
  <c r="AC137" i="1"/>
  <c r="AB137" i="1"/>
  <c r="AA137" i="1"/>
  <c r="Z137" i="1"/>
  <c r="Y137" i="1"/>
  <c r="O137" i="1"/>
  <c r="AD136" i="1"/>
  <c r="AC136" i="1"/>
  <c r="AB136" i="1"/>
  <c r="AA136" i="1"/>
  <c r="Z136" i="1"/>
  <c r="Y136" i="1"/>
  <c r="O136" i="1"/>
  <c r="AD135" i="1"/>
  <c r="AC135" i="1"/>
  <c r="AB135" i="1"/>
  <c r="AA135" i="1"/>
  <c r="Z135" i="1"/>
  <c r="Y135" i="1"/>
  <c r="O135" i="1"/>
  <c r="AD134" i="1"/>
  <c r="AC134" i="1"/>
  <c r="AB134" i="1"/>
  <c r="AA134" i="1"/>
  <c r="Z134" i="1"/>
  <c r="Y134" i="1"/>
  <c r="O134" i="1"/>
  <c r="AD133" i="1"/>
  <c r="AC133" i="1"/>
  <c r="AB133" i="1"/>
  <c r="AA133" i="1"/>
  <c r="Z133" i="1"/>
  <c r="Y133" i="1"/>
  <c r="O133" i="1"/>
  <c r="AD132" i="1"/>
  <c r="AC132" i="1"/>
  <c r="AB132" i="1"/>
  <c r="AA132" i="1"/>
  <c r="Z132" i="1"/>
  <c r="Y132" i="1"/>
  <c r="O132" i="1"/>
  <c r="AD131" i="1"/>
  <c r="AC131" i="1"/>
  <c r="AB131" i="1"/>
  <c r="AA131" i="1"/>
  <c r="Z131" i="1"/>
  <c r="Y131" i="1"/>
  <c r="O131" i="1"/>
  <c r="AD130" i="1"/>
  <c r="AC130" i="1"/>
  <c r="AB130" i="1"/>
  <c r="AA130" i="1"/>
  <c r="Z130" i="1"/>
  <c r="Y130" i="1"/>
  <c r="O130" i="1"/>
  <c r="AD129" i="1"/>
  <c r="AC129" i="1"/>
  <c r="AB129" i="1"/>
  <c r="AA129" i="1"/>
  <c r="Z129" i="1"/>
  <c r="Y129" i="1"/>
  <c r="O129" i="1"/>
  <c r="AD128" i="1"/>
  <c r="AC128" i="1"/>
  <c r="AB128" i="1"/>
  <c r="AA128" i="1"/>
  <c r="Z128" i="1"/>
  <c r="Y128" i="1"/>
  <c r="O128" i="1"/>
  <c r="AD127" i="1"/>
  <c r="AC127" i="1"/>
  <c r="AB127" i="1"/>
  <c r="AA127" i="1"/>
  <c r="Z127" i="1"/>
  <c r="Y127" i="1"/>
  <c r="O127" i="1"/>
  <c r="AD126" i="1"/>
  <c r="AC126" i="1"/>
  <c r="AB126" i="1"/>
  <c r="AA126" i="1"/>
  <c r="Z126" i="1"/>
  <c r="Y126" i="1"/>
  <c r="O126" i="1"/>
  <c r="AD125" i="1"/>
  <c r="AC125" i="1"/>
  <c r="AB125" i="1"/>
  <c r="AA125" i="1"/>
  <c r="Z125" i="1"/>
  <c r="Y125" i="1"/>
  <c r="O125" i="1"/>
  <c r="AD124" i="1"/>
  <c r="AC124" i="1"/>
  <c r="AB124" i="1"/>
  <c r="AA124" i="1"/>
  <c r="Z124" i="1"/>
  <c r="Y124" i="1"/>
  <c r="O124" i="1"/>
  <c r="AD123" i="1"/>
  <c r="AC123" i="1"/>
  <c r="AB123" i="1"/>
  <c r="AA123" i="1"/>
  <c r="Z123" i="1"/>
  <c r="Y123" i="1"/>
  <c r="O123" i="1"/>
  <c r="AD122" i="1"/>
  <c r="AC122" i="1"/>
  <c r="AB122" i="1"/>
  <c r="AA122" i="1"/>
  <c r="Z122" i="1"/>
  <c r="Y122" i="1"/>
  <c r="O122" i="1"/>
  <c r="AD121" i="1"/>
  <c r="AC121" i="1"/>
  <c r="AB121" i="1"/>
  <c r="AA121" i="1"/>
  <c r="Z121" i="1"/>
  <c r="Y121" i="1"/>
  <c r="O121" i="1"/>
  <c r="AD120" i="1"/>
  <c r="AC120" i="1"/>
  <c r="AB120" i="1"/>
  <c r="AA120" i="1"/>
  <c r="Z120" i="1"/>
  <c r="Y120" i="1"/>
  <c r="O120" i="1"/>
  <c r="AD119" i="1"/>
  <c r="AC119" i="1"/>
  <c r="AB119" i="1"/>
  <c r="AA119" i="1"/>
  <c r="Z119" i="1"/>
  <c r="Y119" i="1"/>
  <c r="O119" i="1"/>
  <c r="AD118" i="1"/>
  <c r="AC118" i="1"/>
  <c r="AB118" i="1"/>
  <c r="AA118" i="1"/>
  <c r="Z118" i="1"/>
  <c r="Y118" i="1"/>
  <c r="O118" i="1"/>
  <c r="AD117" i="1"/>
  <c r="AC117" i="1"/>
  <c r="AB117" i="1"/>
  <c r="AA117" i="1"/>
  <c r="Z117" i="1"/>
  <c r="Y117" i="1"/>
  <c r="O117" i="1"/>
  <c r="AD116" i="1"/>
  <c r="AC116" i="1"/>
  <c r="AB116" i="1"/>
  <c r="AA116" i="1"/>
  <c r="Z116" i="1"/>
  <c r="Y116" i="1"/>
  <c r="O116" i="1"/>
  <c r="AD115" i="1"/>
  <c r="AC115" i="1"/>
  <c r="AB115" i="1"/>
  <c r="AA115" i="1"/>
  <c r="Z115" i="1"/>
  <c r="Y115" i="1"/>
  <c r="O115" i="1"/>
  <c r="AD114" i="1"/>
  <c r="AC114" i="1"/>
  <c r="AB114" i="1"/>
  <c r="AA114" i="1"/>
  <c r="Z114" i="1"/>
  <c r="Y114" i="1"/>
  <c r="O114" i="1"/>
  <c r="AD113" i="1"/>
  <c r="AC113" i="1"/>
  <c r="AB113" i="1"/>
  <c r="AA113" i="1"/>
  <c r="Z113" i="1"/>
  <c r="Y113" i="1"/>
  <c r="O113" i="1"/>
  <c r="AD112" i="1"/>
  <c r="AC112" i="1"/>
  <c r="AB112" i="1"/>
  <c r="AA112" i="1"/>
  <c r="Z112" i="1"/>
  <c r="Y112" i="1"/>
  <c r="O112" i="1"/>
  <c r="AD111" i="1"/>
  <c r="AC111" i="1"/>
  <c r="AB111" i="1"/>
  <c r="AA111" i="1"/>
  <c r="Z111" i="1"/>
  <c r="Y111" i="1"/>
  <c r="O111" i="1"/>
  <c r="AD110" i="1"/>
  <c r="AC110" i="1"/>
  <c r="AB110" i="1"/>
  <c r="AA110" i="1"/>
  <c r="Z110" i="1"/>
  <c r="Y110" i="1"/>
  <c r="O110" i="1"/>
  <c r="AD109" i="1"/>
  <c r="AC109" i="1"/>
  <c r="AB109" i="1"/>
  <c r="AA109" i="1"/>
  <c r="Z109" i="1"/>
  <c r="Y109" i="1"/>
  <c r="O109" i="1"/>
  <c r="AD108" i="1"/>
  <c r="AC108" i="1"/>
  <c r="AB108" i="1"/>
  <c r="AA108" i="1"/>
  <c r="Z108" i="1"/>
  <c r="Y108" i="1"/>
  <c r="O108" i="1"/>
  <c r="AD107" i="1"/>
  <c r="AC107" i="1"/>
  <c r="AB107" i="1"/>
  <c r="AA107" i="1"/>
  <c r="Z107" i="1"/>
  <c r="Y107" i="1"/>
  <c r="O107" i="1"/>
  <c r="AD106" i="1"/>
  <c r="AC106" i="1"/>
  <c r="AB106" i="1"/>
  <c r="AA106" i="1"/>
  <c r="Z106" i="1"/>
  <c r="Y106" i="1"/>
  <c r="O106" i="1"/>
  <c r="AD105" i="1"/>
  <c r="AC105" i="1"/>
  <c r="AB105" i="1"/>
  <c r="AA105" i="1"/>
  <c r="Z105" i="1"/>
  <c r="Y105" i="1"/>
  <c r="O105" i="1"/>
  <c r="AD104" i="1"/>
  <c r="AC104" i="1"/>
  <c r="AB104" i="1"/>
  <c r="AA104" i="1"/>
  <c r="Z104" i="1"/>
  <c r="Y104" i="1"/>
  <c r="O104" i="1"/>
  <c r="AD103" i="1"/>
  <c r="AC103" i="1"/>
  <c r="AB103" i="1"/>
  <c r="AA103" i="1"/>
  <c r="Z103" i="1"/>
  <c r="Y103" i="1"/>
  <c r="O103" i="1"/>
  <c r="AD102" i="1"/>
  <c r="AC102" i="1"/>
  <c r="AB102" i="1"/>
  <c r="AA102" i="1"/>
  <c r="Z102" i="1"/>
  <c r="Y102" i="1"/>
  <c r="O102" i="1"/>
  <c r="AD101" i="1"/>
  <c r="AC101" i="1"/>
  <c r="AB101" i="1"/>
  <c r="AA101" i="1"/>
  <c r="Z101" i="1"/>
  <c r="Y101" i="1"/>
  <c r="O101" i="1"/>
  <c r="AD100" i="1"/>
  <c r="AC100" i="1"/>
  <c r="AB100" i="1"/>
  <c r="AA100" i="1"/>
  <c r="Z100" i="1"/>
  <c r="Y100" i="1"/>
  <c r="O100" i="1"/>
  <c r="AD99" i="1"/>
  <c r="AC99" i="1"/>
  <c r="AB99" i="1"/>
  <c r="AA99" i="1"/>
  <c r="Z99" i="1"/>
  <c r="Y99" i="1"/>
  <c r="O99" i="1"/>
  <c r="AD98" i="1"/>
  <c r="AC98" i="1"/>
  <c r="AB98" i="1"/>
  <c r="AA98" i="1"/>
  <c r="Z98" i="1"/>
  <c r="Y98" i="1"/>
  <c r="O98" i="1"/>
  <c r="AD97" i="1"/>
  <c r="AC97" i="1"/>
  <c r="AB97" i="1"/>
  <c r="AA97" i="1"/>
  <c r="Z97" i="1"/>
  <c r="Y97" i="1"/>
  <c r="O97" i="1"/>
  <c r="AD96" i="1"/>
  <c r="AC96" i="1"/>
  <c r="AB96" i="1"/>
  <c r="AA96" i="1"/>
  <c r="Z96" i="1"/>
  <c r="Y96" i="1"/>
  <c r="O96" i="1"/>
  <c r="AD95" i="1"/>
  <c r="AC95" i="1"/>
  <c r="AB95" i="1"/>
  <c r="AA95" i="1"/>
  <c r="Z95" i="1"/>
  <c r="Y95" i="1"/>
  <c r="O95" i="1"/>
  <c r="AD94" i="1"/>
  <c r="AC94" i="1"/>
  <c r="AB94" i="1"/>
  <c r="AA94" i="1"/>
  <c r="Z94" i="1"/>
  <c r="Y94" i="1"/>
  <c r="O94" i="1"/>
  <c r="AD93" i="1"/>
  <c r="AC93" i="1"/>
  <c r="AB93" i="1"/>
  <c r="AA93" i="1"/>
  <c r="Z93" i="1"/>
  <c r="Y93" i="1"/>
  <c r="O93" i="1"/>
  <c r="AD92" i="1"/>
  <c r="AC92" i="1"/>
  <c r="AB92" i="1"/>
  <c r="AA92" i="1"/>
  <c r="Z92" i="1"/>
  <c r="Y92" i="1"/>
  <c r="O92" i="1"/>
  <c r="AD91" i="1"/>
  <c r="AC91" i="1"/>
  <c r="AB91" i="1"/>
  <c r="AA91" i="1"/>
  <c r="Z91" i="1"/>
  <c r="Y91" i="1"/>
  <c r="O91" i="1"/>
  <c r="AD90" i="1"/>
  <c r="AC90" i="1"/>
  <c r="AB90" i="1"/>
  <c r="AA90" i="1"/>
  <c r="Z90" i="1"/>
  <c r="Y90" i="1"/>
  <c r="O90" i="1"/>
  <c r="AD89" i="1"/>
  <c r="AC89" i="1"/>
  <c r="AB89" i="1"/>
  <c r="AA89" i="1"/>
  <c r="Z89" i="1"/>
  <c r="Y89" i="1"/>
  <c r="O89" i="1"/>
  <c r="AD88" i="1"/>
  <c r="AC88" i="1"/>
  <c r="AB88" i="1"/>
  <c r="AA88" i="1"/>
  <c r="Z88" i="1"/>
  <c r="Y88" i="1"/>
  <c r="O88" i="1"/>
  <c r="AD87" i="1"/>
  <c r="AC87" i="1"/>
  <c r="AB87" i="1"/>
  <c r="AA87" i="1"/>
  <c r="Z87" i="1"/>
  <c r="Y87" i="1"/>
  <c r="O87" i="1"/>
  <c r="AD86" i="1"/>
  <c r="AC86" i="1"/>
  <c r="AB86" i="1"/>
  <c r="AA86" i="1"/>
  <c r="Z86" i="1"/>
  <c r="Y86" i="1"/>
  <c r="O86" i="1"/>
  <c r="AD85" i="1"/>
  <c r="AC85" i="1"/>
  <c r="AB85" i="1"/>
  <c r="AA85" i="1"/>
  <c r="Z85" i="1"/>
  <c r="Y85" i="1"/>
  <c r="O85" i="1"/>
  <c r="AD84" i="1"/>
  <c r="AC84" i="1"/>
  <c r="AB84" i="1"/>
  <c r="AA84" i="1"/>
  <c r="Z84" i="1"/>
  <c r="Y84" i="1"/>
  <c r="O84" i="1"/>
  <c r="AD83" i="1"/>
  <c r="AC83" i="1"/>
  <c r="AB83" i="1"/>
  <c r="AA83" i="1"/>
  <c r="Z83" i="1"/>
  <c r="Y83" i="1"/>
  <c r="O83" i="1"/>
  <c r="AD82" i="1"/>
  <c r="AC82" i="1"/>
  <c r="AB82" i="1"/>
  <c r="AA82" i="1"/>
  <c r="Z82" i="1"/>
  <c r="Y82" i="1"/>
  <c r="AD81" i="1"/>
  <c r="AC81" i="1"/>
  <c r="AB81" i="1"/>
  <c r="AA81" i="1"/>
  <c r="Z81" i="1"/>
  <c r="Y81" i="1"/>
  <c r="O81" i="1"/>
  <c r="AD80" i="1"/>
  <c r="AC80" i="1"/>
  <c r="AB80" i="1"/>
  <c r="AA80" i="1"/>
  <c r="Z80" i="1"/>
  <c r="Y80" i="1"/>
  <c r="O80" i="1"/>
  <c r="AD79" i="1"/>
  <c r="AC79" i="1"/>
  <c r="AB79" i="1"/>
  <c r="AA79" i="1"/>
  <c r="Z79" i="1"/>
  <c r="Y79" i="1"/>
  <c r="O79" i="1"/>
  <c r="AD78" i="1"/>
  <c r="AC78" i="1"/>
  <c r="AB78" i="1"/>
  <c r="AA78" i="1"/>
  <c r="Z78" i="1"/>
  <c r="Y78" i="1"/>
  <c r="O78" i="1"/>
  <c r="AD77" i="1"/>
  <c r="AC77" i="1"/>
  <c r="AB77" i="1"/>
  <c r="AA77" i="1"/>
  <c r="Z77" i="1"/>
  <c r="Y77" i="1"/>
  <c r="O77" i="1"/>
  <c r="AD76" i="1"/>
  <c r="AC76" i="1"/>
  <c r="AB76" i="1"/>
  <c r="AA76" i="1"/>
  <c r="Z76" i="1"/>
  <c r="Y76" i="1"/>
  <c r="O76" i="1"/>
  <c r="AD75" i="1"/>
  <c r="AC75" i="1"/>
  <c r="AB75" i="1"/>
  <c r="AA75" i="1"/>
  <c r="Z75" i="1"/>
  <c r="Y75" i="1"/>
  <c r="O75" i="1"/>
  <c r="AD74" i="1"/>
  <c r="AC74" i="1"/>
  <c r="AB74" i="1"/>
  <c r="AA74" i="1"/>
  <c r="Z74" i="1"/>
  <c r="Y74" i="1"/>
  <c r="O74" i="1"/>
  <c r="AD73" i="1"/>
  <c r="AC73" i="1"/>
  <c r="AB73" i="1"/>
  <c r="AA73" i="1"/>
  <c r="Z73" i="1"/>
  <c r="Y73" i="1"/>
  <c r="O73" i="1"/>
  <c r="AD72" i="1"/>
  <c r="AC72" i="1"/>
  <c r="AB72" i="1"/>
  <c r="AA72" i="1"/>
  <c r="Z72" i="1"/>
  <c r="Y72" i="1"/>
  <c r="AD71" i="1"/>
  <c r="AC71" i="1"/>
  <c r="AB71" i="1"/>
  <c r="AA71" i="1"/>
  <c r="Z71" i="1"/>
  <c r="Y71" i="1"/>
  <c r="O71" i="1"/>
  <c r="AD70" i="1"/>
  <c r="AC70" i="1"/>
  <c r="AB70" i="1"/>
  <c r="AA70" i="1"/>
  <c r="Z70" i="1"/>
  <c r="Y70" i="1"/>
  <c r="O70" i="1"/>
  <c r="AD69" i="1"/>
  <c r="AC69" i="1"/>
  <c r="AB69" i="1"/>
  <c r="AA69" i="1"/>
  <c r="Z69" i="1"/>
  <c r="Y69" i="1"/>
  <c r="O69" i="1"/>
  <c r="AD68" i="1"/>
  <c r="AC68" i="1"/>
  <c r="AB68" i="1"/>
  <c r="AA68" i="1"/>
  <c r="Z68" i="1"/>
  <c r="Y68" i="1"/>
  <c r="O68" i="1"/>
  <c r="AD67" i="1"/>
  <c r="AC67" i="1"/>
  <c r="AB67" i="1"/>
  <c r="AA67" i="1"/>
  <c r="Z67" i="1"/>
  <c r="Y67" i="1"/>
  <c r="O67" i="1"/>
  <c r="AD66" i="1"/>
  <c r="AC66" i="1"/>
  <c r="AB66" i="1"/>
  <c r="AA66" i="1"/>
  <c r="Z66" i="1"/>
  <c r="Y66" i="1"/>
  <c r="O66" i="1"/>
  <c r="AD65" i="1"/>
  <c r="AC65" i="1"/>
  <c r="AB65" i="1"/>
  <c r="AA65" i="1"/>
  <c r="Z65" i="1"/>
  <c r="Y65" i="1"/>
  <c r="O65" i="1"/>
  <c r="AD64" i="1"/>
  <c r="AC64" i="1"/>
  <c r="AB64" i="1"/>
  <c r="AA64" i="1"/>
  <c r="Z64" i="1"/>
  <c r="Y64" i="1"/>
  <c r="O64" i="1"/>
  <c r="AD63" i="1"/>
  <c r="AC63" i="1"/>
  <c r="AB63" i="1"/>
  <c r="AA63" i="1"/>
  <c r="Z63" i="1"/>
  <c r="Y63" i="1"/>
  <c r="O63" i="1"/>
  <c r="AD62" i="1"/>
  <c r="AC62" i="1"/>
  <c r="AB62" i="1"/>
  <c r="AA62" i="1"/>
  <c r="Z62" i="1"/>
  <c r="Y62" i="1"/>
  <c r="O62" i="1"/>
  <c r="AD61" i="1"/>
  <c r="AC61" i="1"/>
  <c r="AB61" i="1"/>
  <c r="AA61" i="1"/>
  <c r="Z61" i="1"/>
  <c r="Y61" i="1"/>
  <c r="O61" i="1"/>
  <c r="AD60" i="1"/>
  <c r="AC60" i="1"/>
  <c r="AB60" i="1"/>
  <c r="AA60" i="1"/>
  <c r="Z60" i="1"/>
  <c r="Y60" i="1"/>
  <c r="O60" i="1"/>
  <c r="AD59" i="1"/>
  <c r="AC59" i="1"/>
  <c r="AB59" i="1"/>
  <c r="AA59" i="1"/>
  <c r="Z59" i="1"/>
  <c r="Y59" i="1"/>
  <c r="O59" i="1"/>
  <c r="AD58" i="1"/>
  <c r="AC58" i="1"/>
  <c r="AB58" i="1"/>
  <c r="AA58" i="1"/>
  <c r="Z58" i="1"/>
  <c r="Y58" i="1"/>
  <c r="O58" i="1"/>
  <c r="AD57" i="1"/>
  <c r="AC57" i="1"/>
  <c r="AB57" i="1"/>
  <c r="AA57" i="1"/>
  <c r="Z57" i="1"/>
  <c r="Y57" i="1"/>
  <c r="O57" i="1"/>
  <c r="AD56" i="1"/>
  <c r="AC56" i="1"/>
  <c r="AB56" i="1"/>
  <c r="AA56" i="1"/>
  <c r="Z56" i="1"/>
  <c r="Y56" i="1"/>
  <c r="O56" i="1"/>
  <c r="AD55" i="1"/>
  <c r="AC55" i="1"/>
  <c r="AB55" i="1"/>
  <c r="AA55" i="1"/>
  <c r="Z55" i="1"/>
  <c r="Y55" i="1"/>
  <c r="O55" i="1"/>
  <c r="AD54" i="1"/>
  <c r="AC54" i="1"/>
  <c r="AB54" i="1"/>
  <c r="AA54" i="1"/>
  <c r="Z54" i="1"/>
  <c r="Y54" i="1"/>
  <c r="O54" i="1"/>
  <c r="AD53" i="1"/>
  <c r="AC53" i="1"/>
  <c r="AB53" i="1"/>
  <c r="AA53" i="1"/>
  <c r="Z53" i="1"/>
  <c r="Y53" i="1"/>
  <c r="O53" i="1"/>
  <c r="AD52" i="1"/>
  <c r="AC52" i="1"/>
  <c r="AB52" i="1"/>
  <c r="AA52" i="1"/>
  <c r="Z52" i="1"/>
  <c r="Y52" i="1"/>
  <c r="O52" i="1"/>
  <c r="AD51" i="1"/>
  <c r="AC51" i="1"/>
  <c r="AB51" i="1"/>
  <c r="AA51" i="1"/>
  <c r="Z51" i="1"/>
  <c r="Y51" i="1"/>
  <c r="O51" i="1"/>
  <c r="AD50" i="1"/>
  <c r="AC50" i="1"/>
  <c r="AB50" i="1"/>
  <c r="AA50" i="1"/>
  <c r="Z50" i="1"/>
  <c r="Y50" i="1"/>
  <c r="O50" i="1"/>
  <c r="AD49" i="1"/>
  <c r="AC49" i="1"/>
  <c r="AB49" i="1"/>
  <c r="AA49" i="1"/>
  <c r="Z49" i="1"/>
  <c r="Y49" i="1"/>
  <c r="O49" i="1"/>
  <c r="AD48" i="1"/>
  <c r="AC48" i="1"/>
  <c r="AB48" i="1"/>
  <c r="AA48" i="1"/>
  <c r="Z48" i="1"/>
  <c r="Y48" i="1"/>
  <c r="O48" i="1"/>
  <c r="AD47" i="1"/>
  <c r="AC47" i="1"/>
  <c r="AB47" i="1"/>
  <c r="AA47" i="1"/>
  <c r="Z47" i="1"/>
  <c r="Y47" i="1"/>
  <c r="O47" i="1"/>
  <c r="AD46" i="1"/>
  <c r="AC46" i="1"/>
  <c r="AB46" i="1"/>
  <c r="AA46" i="1"/>
  <c r="Z46" i="1"/>
  <c r="Y46" i="1"/>
  <c r="O46" i="1"/>
  <c r="AD45" i="1"/>
  <c r="AC45" i="1"/>
  <c r="AB45" i="1"/>
  <c r="AA45" i="1"/>
  <c r="Z45" i="1"/>
  <c r="Y45" i="1"/>
  <c r="O45" i="1"/>
  <c r="AD44" i="1"/>
  <c r="AC44" i="1"/>
  <c r="AB44" i="1"/>
  <c r="AA44" i="1"/>
  <c r="Z44" i="1"/>
  <c r="Y44" i="1"/>
  <c r="O44" i="1"/>
  <c r="AD43" i="1"/>
  <c r="AC43" i="1"/>
  <c r="AB43" i="1"/>
  <c r="AA43" i="1"/>
  <c r="Z43" i="1"/>
  <c r="Y43" i="1"/>
  <c r="O43" i="1"/>
  <c r="AC42" i="1"/>
  <c r="AB42" i="1"/>
  <c r="AA42" i="1"/>
  <c r="Z42" i="1"/>
  <c r="Y42" i="1"/>
  <c r="O42" i="1"/>
  <c r="AD41" i="1"/>
  <c r="AC41" i="1"/>
  <c r="AB41" i="1"/>
  <c r="AA41" i="1"/>
  <c r="Z41" i="1"/>
  <c r="Y41" i="1"/>
  <c r="O41" i="1"/>
  <c r="AD40" i="1"/>
  <c r="AC40" i="1"/>
  <c r="AB40" i="1"/>
  <c r="AA40" i="1"/>
  <c r="Z40" i="1"/>
  <c r="Y40" i="1"/>
  <c r="O40" i="1"/>
  <c r="AD39" i="1"/>
  <c r="AC39" i="1"/>
  <c r="AB39" i="1"/>
  <c r="AA39" i="1"/>
  <c r="Z39" i="1"/>
  <c r="Y39" i="1"/>
  <c r="O39" i="1"/>
  <c r="AD38" i="1"/>
  <c r="AC38" i="1"/>
  <c r="AB38" i="1"/>
  <c r="AA38" i="1"/>
  <c r="Z38" i="1"/>
  <c r="Y38" i="1"/>
  <c r="O38" i="1"/>
  <c r="AD37" i="1"/>
  <c r="AC37" i="1"/>
  <c r="AB37" i="1"/>
  <c r="AA37" i="1"/>
  <c r="Z37" i="1"/>
  <c r="Y37" i="1"/>
  <c r="O37" i="1"/>
  <c r="AD36" i="1"/>
  <c r="AC36" i="1"/>
  <c r="AB36" i="1"/>
  <c r="AA36" i="1"/>
  <c r="Z36" i="1"/>
  <c r="Y36" i="1"/>
  <c r="O36" i="1"/>
  <c r="AD35" i="1"/>
  <c r="AC35" i="1"/>
  <c r="AB35" i="1"/>
  <c r="AA35" i="1"/>
  <c r="Z35" i="1"/>
  <c r="Y35" i="1"/>
  <c r="O35" i="1"/>
  <c r="AD34" i="1"/>
  <c r="AC34" i="1"/>
  <c r="AB34" i="1"/>
  <c r="AA34" i="1"/>
  <c r="Z34" i="1"/>
  <c r="Y34" i="1"/>
  <c r="O34" i="1"/>
  <c r="AD33" i="1"/>
  <c r="AC33" i="1"/>
  <c r="AB33" i="1"/>
  <c r="AA33" i="1"/>
  <c r="Z33" i="1"/>
  <c r="Y33" i="1"/>
  <c r="O33" i="1"/>
  <c r="AD32" i="1"/>
  <c r="AC32" i="1"/>
  <c r="AB32" i="1"/>
  <c r="AA32" i="1"/>
  <c r="Z32" i="1"/>
  <c r="Y32" i="1"/>
  <c r="O32" i="1"/>
  <c r="AD31" i="1"/>
  <c r="AC31" i="1"/>
  <c r="AB31" i="1"/>
  <c r="AA31" i="1"/>
  <c r="Z31" i="1"/>
  <c r="Y31" i="1"/>
  <c r="O31" i="1"/>
  <c r="AD30" i="1"/>
  <c r="AC30" i="1"/>
  <c r="AB30" i="1"/>
  <c r="AA30" i="1"/>
  <c r="Z30" i="1"/>
  <c r="Y30" i="1"/>
  <c r="O30" i="1"/>
  <c r="AD29" i="1"/>
  <c r="AC29" i="1"/>
  <c r="AB29" i="1"/>
  <c r="AA29" i="1"/>
  <c r="Z29" i="1"/>
  <c r="Y29" i="1"/>
  <c r="O29" i="1"/>
  <c r="AD28" i="1"/>
  <c r="AC28" i="1"/>
  <c r="AB28" i="1"/>
  <c r="AA28" i="1"/>
  <c r="Z28" i="1"/>
  <c r="Y28" i="1"/>
  <c r="O28" i="1"/>
  <c r="AD27" i="1"/>
  <c r="AC27" i="1"/>
  <c r="AB27" i="1"/>
  <c r="AA27" i="1"/>
  <c r="Z27" i="1"/>
  <c r="Y27" i="1"/>
  <c r="O27" i="1"/>
  <c r="AD26" i="1"/>
  <c r="AC26" i="1"/>
  <c r="AB26" i="1"/>
  <c r="AA26" i="1"/>
  <c r="Z26" i="1"/>
  <c r="Y26" i="1"/>
  <c r="O26" i="1"/>
  <c r="AD25" i="1"/>
  <c r="AC25" i="1"/>
  <c r="AB25" i="1"/>
  <c r="AA25" i="1"/>
  <c r="Z25" i="1"/>
  <c r="Y25" i="1"/>
  <c r="O25" i="1"/>
  <c r="AD24" i="1"/>
  <c r="AC24" i="1"/>
  <c r="AB24" i="1"/>
  <c r="AA24" i="1"/>
  <c r="Z24" i="1"/>
  <c r="Y24" i="1"/>
  <c r="O24" i="1"/>
  <c r="AD23" i="1"/>
  <c r="AC23" i="1"/>
  <c r="AB23" i="1"/>
  <c r="AA23" i="1"/>
  <c r="Z23" i="1"/>
  <c r="Y23" i="1"/>
  <c r="O23" i="1"/>
  <c r="AD22" i="1"/>
  <c r="AC22" i="1"/>
  <c r="AB22" i="1"/>
  <c r="AA22" i="1"/>
  <c r="Z22" i="1"/>
  <c r="Y22" i="1"/>
  <c r="O22" i="1"/>
  <c r="AD21" i="1"/>
  <c r="AC21" i="1"/>
  <c r="AB21" i="1"/>
  <c r="AA21" i="1"/>
  <c r="Z21" i="1"/>
  <c r="Y21" i="1"/>
  <c r="O21" i="1"/>
  <c r="AD20" i="1"/>
  <c r="AC20" i="1"/>
  <c r="AB20" i="1"/>
  <c r="AA20" i="1"/>
  <c r="Z20" i="1"/>
  <c r="Y20" i="1"/>
  <c r="O20" i="1"/>
  <c r="AD19" i="1"/>
  <c r="AC19" i="1"/>
  <c r="AB19" i="1"/>
  <c r="AA19" i="1"/>
  <c r="Z19" i="1"/>
  <c r="Y19" i="1"/>
  <c r="O19" i="1"/>
  <c r="AD18" i="1"/>
  <c r="AC18" i="1"/>
  <c r="AB18" i="1"/>
  <c r="AA18" i="1"/>
  <c r="Z18" i="1"/>
  <c r="Y18" i="1"/>
  <c r="O18" i="1"/>
  <c r="AD17" i="1"/>
  <c r="AC17" i="1"/>
  <c r="AB17" i="1"/>
  <c r="AA17" i="1"/>
  <c r="Z17" i="1"/>
  <c r="Y17" i="1"/>
  <c r="O17" i="1"/>
  <c r="AD16" i="1"/>
  <c r="AC16" i="1"/>
  <c r="AA16" i="1"/>
  <c r="Z16" i="1"/>
  <c r="Y16" i="1"/>
  <c r="O16" i="1"/>
  <c r="AD15" i="1"/>
  <c r="AC15" i="1"/>
  <c r="AB15" i="1"/>
  <c r="AA15" i="1"/>
  <c r="Z15" i="1"/>
  <c r="Y15" i="1"/>
  <c r="O15" i="1"/>
  <c r="AD14" i="1"/>
  <c r="AC14" i="1"/>
  <c r="AB14" i="1"/>
  <c r="AA14" i="1"/>
  <c r="Z14" i="1"/>
  <c r="Y14" i="1"/>
  <c r="O14" i="1"/>
  <c r="AD13" i="1"/>
  <c r="AC13" i="1"/>
  <c r="AB13" i="1"/>
  <c r="AA13" i="1"/>
  <c r="Z13" i="1"/>
  <c r="Y13" i="1"/>
  <c r="O13" i="1"/>
  <c r="AD12" i="1"/>
  <c r="AC12" i="1"/>
  <c r="AB12" i="1"/>
  <c r="AA12" i="1"/>
  <c r="Z12" i="1"/>
  <c r="Y12" i="1"/>
  <c r="O12" i="1"/>
  <c r="AD11" i="1"/>
  <c r="AC11" i="1"/>
  <c r="AB11" i="1"/>
  <c r="AA11" i="1"/>
  <c r="Z11" i="1"/>
  <c r="Y11" i="1"/>
  <c r="O11" i="1"/>
  <c r="AD10" i="1"/>
  <c r="AC10" i="1"/>
  <c r="AB10" i="1"/>
  <c r="AA10" i="1"/>
  <c r="Z10" i="1"/>
  <c r="Y10" i="1"/>
  <c r="O10" i="1"/>
  <c r="AD9" i="1"/>
  <c r="AC9" i="1"/>
  <c r="AB9" i="1"/>
  <c r="AA9" i="1"/>
  <c r="Z9" i="1"/>
  <c r="Y9" i="1"/>
  <c r="O9" i="1"/>
  <c r="AD8" i="1"/>
  <c r="AC8" i="1"/>
  <c r="AB8" i="1"/>
  <c r="AA8" i="1"/>
  <c r="Z8" i="1"/>
  <c r="Y8" i="1"/>
  <c r="O8" i="1"/>
  <c r="AD7" i="1"/>
  <c r="AC7" i="1"/>
  <c r="AB7" i="1"/>
  <c r="AA7" i="1"/>
  <c r="Z7" i="1"/>
  <c r="Y7" i="1"/>
  <c r="O7" i="1"/>
  <c r="AD6" i="1"/>
  <c r="AC6" i="1"/>
  <c r="AB6" i="1"/>
  <c r="AA6" i="1"/>
  <c r="Z6" i="1"/>
  <c r="Y6" i="1"/>
  <c r="O6" i="1"/>
  <c r="AD5" i="1"/>
  <c r="AC5" i="1"/>
  <c r="AB5" i="1"/>
  <c r="AA5" i="1"/>
  <c r="Z5" i="1"/>
  <c r="Y5" i="1"/>
  <c r="O5" i="1"/>
  <c r="AD4" i="1"/>
  <c r="AC4" i="1"/>
  <c r="AB4" i="1"/>
  <c r="AA4" i="1"/>
  <c r="Z4" i="1"/>
  <c r="Y4" i="1"/>
  <c r="O4" i="1"/>
  <c r="AD3" i="1"/>
  <c r="AC3" i="1"/>
  <c r="AB3" i="1"/>
  <c r="AA3" i="1"/>
  <c r="Z3" i="1"/>
  <c r="Y3" i="1"/>
  <c r="O3" i="1"/>
  <c r="AD2" i="1"/>
  <c r="AC2" i="1"/>
  <c r="AB2" i="1"/>
  <c r="AA2" i="1"/>
  <c r="Z2" i="1"/>
  <c r="Y2" i="1"/>
  <c r="O2" i="1"/>
</calcChain>
</file>

<file path=xl/sharedStrings.xml><?xml version="1.0" encoding="utf-8"?>
<sst xmlns="http://schemas.openxmlformats.org/spreadsheetml/2006/main" count="1411" uniqueCount="834">
  <si>
    <t>INPUT DATE</t>
  </si>
  <si>
    <t>PN</t>
  </si>
  <si>
    <t>NO/CELL</t>
  </si>
  <si>
    <t>DRAW NO</t>
  </si>
  <si>
    <t>REQU-DATE</t>
  </si>
  <si>
    <t>CUST</t>
  </si>
  <si>
    <t>STOCK CODE</t>
  </si>
  <si>
    <t>QTY</t>
  </si>
  <si>
    <t>CELL CODE</t>
  </si>
  <si>
    <t>B$</t>
  </si>
  <si>
    <t>ORDER NO</t>
  </si>
  <si>
    <t>MODEL</t>
  </si>
  <si>
    <t>VOL</t>
  </si>
  <si>
    <t>AH</t>
  </si>
  <si>
    <t>WH</t>
  </si>
  <si>
    <t>CHEM</t>
  </si>
  <si>
    <t>STRUCTURE</t>
  </si>
  <si>
    <t>STAFF</t>
  </si>
  <si>
    <t>WORKHR</t>
  </si>
  <si>
    <t>HR/PP</t>
  </si>
  <si>
    <t>END DATE</t>
  </si>
  <si>
    <t>TEST TIME</t>
  </si>
  <si>
    <t>AV</t>
  </si>
  <si>
    <t>S$</t>
  </si>
  <si>
    <t>C-DRAW</t>
  </si>
  <si>
    <t>C-CELLS</t>
  </si>
  <si>
    <t>C-AV</t>
  </si>
  <si>
    <t>C-B$</t>
  </si>
  <si>
    <t>C-S$</t>
  </si>
  <si>
    <t>C-STCODE</t>
  </si>
  <si>
    <t>ORIGINAL S$</t>
  </si>
  <si>
    <t>DISCOUNT</t>
  </si>
  <si>
    <t>SALESMAN</t>
  </si>
  <si>
    <t>Customer Code</t>
  </si>
  <si>
    <t>Order Date</t>
  </si>
  <si>
    <t>310336</t>
  </si>
  <si>
    <t>1/ RV12100</t>
  </si>
  <si>
    <t>RL1432</t>
  </si>
  <si>
    <t>REEDS PROSPECTING SUPPLIES</t>
  </si>
  <si>
    <t>66003-001</t>
  </si>
  <si>
    <t>63000-110</t>
  </si>
  <si>
    <t>LIFEPO4</t>
  </si>
  <si>
    <t>1S1P</t>
  </si>
  <si>
    <t>MB</t>
  </si>
  <si>
    <t>312052</t>
  </si>
  <si>
    <t>CE184-LAB</t>
  </si>
  <si>
    <t>GLOBAL TECHNOLOGIES PTY LTD</t>
  </si>
  <si>
    <t>67001-853</t>
  </si>
  <si>
    <t>312051</t>
  </si>
  <si>
    <t>CE183-LAB</t>
  </si>
  <si>
    <t>67001-852</t>
  </si>
  <si>
    <t>313648</t>
  </si>
  <si>
    <t>8/NCR18650B</t>
  </si>
  <si>
    <t>RL1476</t>
  </si>
  <si>
    <t>AUTONOMOUS INDUSTRIES AUSTRALASIA PTY LTD (AIAUST)</t>
  </si>
  <si>
    <t>66002-662</t>
  </si>
  <si>
    <t>88003-117</t>
  </si>
  <si>
    <t>LI-ION</t>
  </si>
  <si>
    <t>4S2P</t>
  </si>
  <si>
    <t>AR</t>
  </si>
  <si>
    <t>ULTRA LOW VF RECTIFIER-LAB</t>
  </si>
  <si>
    <t>WA CASH</t>
  </si>
  <si>
    <t>315899</t>
  </si>
  <si>
    <t>54/L91</t>
  </si>
  <si>
    <t>L258L</t>
  </si>
  <si>
    <t>BUREAU OF METEOROLOGY VIC</t>
  </si>
  <si>
    <t>66000-249L</t>
  </si>
  <si>
    <t>54000-009B</t>
  </si>
  <si>
    <t>3X9</t>
  </si>
  <si>
    <t>LiFeS2</t>
  </si>
  <si>
    <t>2X6S4P,6S</t>
  </si>
  <si>
    <t>DR</t>
  </si>
  <si>
    <t>315792</t>
  </si>
  <si>
    <t>TSB-002</t>
  </si>
  <si>
    <t>CH551</t>
  </si>
  <si>
    <t>CORRUPTION &amp; CRIME COMMISSION OF WA</t>
  </si>
  <si>
    <t>66002-730</t>
  </si>
  <si>
    <t>317878</t>
  </si>
  <si>
    <t>2/LS14500</t>
  </si>
  <si>
    <t>L238</t>
  </si>
  <si>
    <t>REFLEX INSTRUMENTS ASIA PACIFIC (IMDEX LTD)</t>
  </si>
  <si>
    <t>66000-231</t>
  </si>
  <si>
    <t>33003-049</t>
  </si>
  <si>
    <t>LISOCL2</t>
  </si>
  <si>
    <t>317920</t>
  </si>
  <si>
    <t>6/MH-C4500HT</t>
  </si>
  <si>
    <t>N404</t>
  </si>
  <si>
    <t>66000-382</t>
  </si>
  <si>
    <t>59001-036</t>
  </si>
  <si>
    <t>NIMH</t>
  </si>
  <si>
    <t>6S1P</t>
  </si>
  <si>
    <t>318425</t>
  </si>
  <si>
    <t>3/INR21700-50E</t>
  </si>
  <si>
    <t>DH54B</t>
  </si>
  <si>
    <t>RIG TECHNOLOGIES INTERNATIONAL P/L</t>
  </si>
  <si>
    <t>66002-623B</t>
  </si>
  <si>
    <t>89003-129</t>
  </si>
  <si>
    <t>LIION</t>
  </si>
  <si>
    <t>3S1P</t>
  </si>
  <si>
    <t>318502</t>
  </si>
  <si>
    <t xml:space="preserve"> 1/NC500U</t>
  </si>
  <si>
    <t>CH565</t>
  </si>
  <si>
    <t>BATTERY SPECIALTIES WA</t>
  </si>
  <si>
    <t>66002-864</t>
  </si>
  <si>
    <t>318984</t>
  </si>
  <si>
    <t>LAB</t>
  </si>
  <si>
    <t>BATTERY WORLD OSBORNE PARK</t>
  </si>
  <si>
    <t>20008-803WESTS</t>
  </si>
  <si>
    <t>DJ</t>
  </si>
  <si>
    <t>320093</t>
  </si>
  <si>
    <t>ER34615H</t>
  </si>
  <si>
    <t>L810</t>
  </si>
  <si>
    <t>NSW FISHERIES</t>
  </si>
  <si>
    <t>60000-013FAN</t>
  </si>
  <si>
    <t>56000-800</t>
  </si>
  <si>
    <t>CONN-LAB</t>
  </si>
  <si>
    <t>SHIRE OF MERREDIN</t>
  </si>
  <si>
    <t>320628</t>
  </si>
  <si>
    <t>CA192</t>
  </si>
  <si>
    <t>STOCK</t>
  </si>
  <si>
    <t>66002-799</t>
  </si>
  <si>
    <t>320629</t>
  </si>
  <si>
    <t>CA193</t>
  </si>
  <si>
    <t>66002-800</t>
  </si>
  <si>
    <t>320791</t>
  </si>
  <si>
    <t>78/KFM72P</t>
  </si>
  <si>
    <t>N380</t>
  </si>
  <si>
    <t>DOWNER EDI RAIL - BOMBARDIER (CLAISEBROOK)</t>
  </si>
  <si>
    <t>66000-360</t>
  </si>
  <si>
    <t>67000-094A</t>
  </si>
  <si>
    <t>NiCD</t>
  </si>
  <si>
    <t>1S2P</t>
  </si>
  <si>
    <t>27607A</t>
  </si>
  <si>
    <t>322118</t>
  </si>
  <si>
    <t>16/UR18650F-2300</t>
  </si>
  <si>
    <t>RL278</t>
  </si>
  <si>
    <t>BARRETT COMMUNICATIONS</t>
  </si>
  <si>
    <t>66000-508</t>
  </si>
  <si>
    <t>66000-7921</t>
  </si>
  <si>
    <t>LiIon</t>
  </si>
  <si>
    <t>4S4P</t>
  </si>
  <si>
    <t>323536</t>
  </si>
  <si>
    <t>1/PD2032</t>
  </si>
  <si>
    <t>RL1569</t>
  </si>
  <si>
    <t>66003-025</t>
  </si>
  <si>
    <t>58000-510</t>
  </si>
  <si>
    <t>LAB-CABLE</t>
  </si>
  <si>
    <t>BLUE OCEAN MARINE</t>
  </si>
  <si>
    <t>323933</t>
  </si>
  <si>
    <t>10/IMX-4000C</t>
  </si>
  <si>
    <t>N1759</t>
  </si>
  <si>
    <t>GASTECH AUSTRALIA PTY LTD</t>
  </si>
  <si>
    <t>66001-515</t>
  </si>
  <si>
    <t>35008-024</t>
  </si>
  <si>
    <t>NiMH</t>
  </si>
  <si>
    <t>10S1P</t>
  </si>
  <si>
    <t>324577</t>
  </si>
  <si>
    <t>VECIP65-24/13</t>
  </si>
  <si>
    <t>CH599</t>
  </si>
  <si>
    <t>FOR-DE GROUP P/L T/A SHOPRIDER</t>
  </si>
  <si>
    <t>64900-631XLR</t>
  </si>
  <si>
    <t>64900-631</t>
  </si>
  <si>
    <t>324592</t>
  </si>
  <si>
    <t>CH596</t>
  </si>
  <si>
    <t>BATTERY WORLD O'CONNOR</t>
  </si>
  <si>
    <t>66003-596</t>
  </si>
  <si>
    <t>23862B</t>
  </si>
  <si>
    <t>LAB-RE-L222</t>
  </si>
  <si>
    <t>SPECIALISED OILFIELD SERVICES PTY LTD</t>
  </si>
  <si>
    <t>325438</t>
  </si>
  <si>
    <t>BARBARO SASCHA</t>
  </si>
  <si>
    <t>325287</t>
  </si>
  <si>
    <t>1/TSB004</t>
  </si>
  <si>
    <t>CH610</t>
  </si>
  <si>
    <t>67001-915</t>
  </si>
  <si>
    <t>67000-700</t>
  </si>
  <si>
    <t>326264</t>
  </si>
  <si>
    <t>2/K226650UE01</t>
  </si>
  <si>
    <t>PACK</t>
  </si>
  <si>
    <t>BATTERY WORLD JOONDALUP</t>
  </si>
  <si>
    <t>66004-084</t>
  </si>
  <si>
    <t>89003-154U</t>
  </si>
  <si>
    <t>LiFePO4</t>
  </si>
  <si>
    <t>2S1P</t>
  </si>
  <si>
    <t>23908A</t>
  </si>
  <si>
    <t>327043</t>
  </si>
  <si>
    <t>8/IMX-2000Cs</t>
  </si>
  <si>
    <t>RECELL106</t>
  </si>
  <si>
    <t>BATTERY WORLD BUNBURY</t>
  </si>
  <si>
    <t>22000-438A</t>
  </si>
  <si>
    <t>35008-026</t>
  </si>
  <si>
    <t>8S1P</t>
  </si>
  <si>
    <t>326596</t>
  </si>
  <si>
    <t>326985</t>
  </si>
  <si>
    <t>24/UR18650A</t>
  </si>
  <si>
    <t>RL638B</t>
  </si>
  <si>
    <t>MINNOVARE LTD</t>
  </si>
  <si>
    <t>66001-520</t>
  </si>
  <si>
    <t>67001-2981</t>
  </si>
  <si>
    <t>2X21.6</t>
  </si>
  <si>
    <t>2X7S2P</t>
  </si>
  <si>
    <t>31/2/2024</t>
  </si>
  <si>
    <t>327484</t>
  </si>
  <si>
    <t xml:space="preserve">1/UR18500FK </t>
  </si>
  <si>
    <t>RL1631</t>
  </si>
  <si>
    <t>SURFSAFE</t>
  </si>
  <si>
    <t>66003-088</t>
  </si>
  <si>
    <t>30007-098</t>
  </si>
  <si>
    <t>Lab-conn</t>
  </si>
  <si>
    <t>327740</t>
  </si>
  <si>
    <t xml:space="preserve">2/TSB-003APCB </t>
  </si>
  <si>
    <t>CH605A</t>
  </si>
  <si>
    <t>66003-606</t>
  </si>
  <si>
    <t>67000-074</t>
  </si>
  <si>
    <t>LAB-RL1365</t>
  </si>
  <si>
    <t>328246</t>
  </si>
  <si>
    <t>CH610A</t>
  </si>
  <si>
    <t>HAMMON BOX WATER</t>
  </si>
  <si>
    <t>67001-9151</t>
  </si>
  <si>
    <t>327107</t>
  </si>
  <si>
    <t>27/LR6XW</t>
  </si>
  <si>
    <t>AL139</t>
  </si>
  <si>
    <t>L3HARRIS INTEGRATED MISSION</t>
  </si>
  <si>
    <t>66000-184</t>
  </si>
  <si>
    <t>46002-454</t>
  </si>
  <si>
    <t>ALKALINE</t>
  </si>
  <si>
    <t>6S2P+6S+9S</t>
  </si>
  <si>
    <t>328741</t>
  </si>
  <si>
    <t>1/TSB-002PCB</t>
  </si>
  <si>
    <t>CH211A</t>
  </si>
  <si>
    <t>REMOTE CONTROL TECHNOLOGIES</t>
  </si>
  <si>
    <t>66000-118A</t>
  </si>
  <si>
    <t>67000-073</t>
  </si>
  <si>
    <t>329217</t>
  </si>
  <si>
    <t>UBA5</t>
  </si>
  <si>
    <t>ANALYSER + TP'S + PWR SUPPLY</t>
  </si>
  <si>
    <t>20006-071A</t>
  </si>
  <si>
    <t>20006-950</t>
  </si>
  <si>
    <t>330244</t>
  </si>
  <si>
    <t>3/NCR18650GA</t>
  </si>
  <si>
    <t>RL1582</t>
  </si>
  <si>
    <t>DEPT OF PRIMARY INDUSTRIES &amp; REGIONAL DEV (WA)</t>
  </si>
  <si>
    <t>66003-041</t>
  </si>
  <si>
    <t>88002-630BF</t>
  </si>
  <si>
    <t>330436</t>
  </si>
  <si>
    <t>3/UR18650FK</t>
  </si>
  <si>
    <t>RL215</t>
  </si>
  <si>
    <t>STINGER TECHNOLOGIES</t>
  </si>
  <si>
    <t>66000-479</t>
  </si>
  <si>
    <t>30007-101</t>
  </si>
  <si>
    <t>330568</t>
  </si>
  <si>
    <t>LIBM-LEV24PFP</t>
  </si>
  <si>
    <t>RECELL830</t>
  </si>
  <si>
    <t>BATTERIES PLUS</t>
  </si>
  <si>
    <t>88002-630RXA</t>
  </si>
  <si>
    <t>66000-793</t>
  </si>
  <si>
    <t>7S3P</t>
  </si>
  <si>
    <t>23797A</t>
  </si>
  <si>
    <t>330955</t>
  </si>
  <si>
    <t>10/KH-D10000</t>
  </si>
  <si>
    <t>RECELL</t>
  </si>
  <si>
    <t>BATTERY WORLD ALBANY</t>
  </si>
  <si>
    <t>66000-988</t>
  </si>
  <si>
    <t>35008-029</t>
  </si>
  <si>
    <t>331181</t>
  </si>
  <si>
    <t>4/LR03</t>
  </si>
  <si>
    <t>DH60b</t>
  </si>
  <si>
    <t>PEAK WELL SYSTEMS PTY LTD</t>
  </si>
  <si>
    <t>66003-104B</t>
  </si>
  <si>
    <t>67001-939</t>
  </si>
  <si>
    <t>4S1P</t>
  </si>
  <si>
    <t>331327</t>
  </si>
  <si>
    <t>331679</t>
  </si>
  <si>
    <t>6/LIION POLYMER</t>
  </si>
  <si>
    <t>RL1702</t>
  </si>
  <si>
    <t>ADVANCED NAVIGATION PTY LTD</t>
  </si>
  <si>
    <t>67001-946</t>
  </si>
  <si>
    <t>21000-130</t>
  </si>
  <si>
    <t>3S2P</t>
  </si>
  <si>
    <t>331681</t>
  </si>
  <si>
    <t>331724</t>
  </si>
  <si>
    <t>6/12SB25WHR</t>
  </si>
  <si>
    <t>S124</t>
  </si>
  <si>
    <t>CALDERTECH AUSTRALIA PTY LTD</t>
  </si>
  <si>
    <t>66002-950</t>
  </si>
  <si>
    <t>60000-962</t>
  </si>
  <si>
    <t>SLA</t>
  </si>
  <si>
    <t>1S2P, 2S2P</t>
  </si>
  <si>
    <t>332435</t>
  </si>
  <si>
    <t>1/UF553450Z</t>
  </si>
  <si>
    <t>TAG63</t>
  </si>
  <si>
    <t>VIDEO SURVEILLANCE TECHNOLOGY PTY LTD</t>
  </si>
  <si>
    <t>67001-199</t>
  </si>
  <si>
    <t>30008-121</t>
  </si>
  <si>
    <t>332444</t>
  </si>
  <si>
    <t xml:space="preserve">2/AA1700 </t>
  </si>
  <si>
    <t>PACK491</t>
  </si>
  <si>
    <t>EX ENGINEERING PTY LTD</t>
  </si>
  <si>
    <t>66002-188</t>
  </si>
  <si>
    <t>38000-400</t>
  </si>
  <si>
    <t>332485</t>
  </si>
  <si>
    <t xml:space="preserve"> 5/LSH14</t>
  </si>
  <si>
    <t>DH33D</t>
  </si>
  <si>
    <t>HALLIBURTON AUSTRALIA PTY LTD</t>
  </si>
  <si>
    <t>66000-7984</t>
  </si>
  <si>
    <t>33003-070</t>
  </si>
  <si>
    <t>DH-BAT009</t>
  </si>
  <si>
    <t>LiTH</t>
  </si>
  <si>
    <t>5S1P</t>
  </si>
  <si>
    <t>332553</t>
  </si>
  <si>
    <t>5/3B5100</t>
  </si>
  <si>
    <t>DH33</t>
  </si>
  <si>
    <t>66000-798</t>
  </si>
  <si>
    <t>60000-165</t>
  </si>
  <si>
    <t>Lith</t>
  </si>
  <si>
    <t>332530</t>
  </si>
  <si>
    <t>28/NCR18650GA</t>
  </si>
  <si>
    <t>RECELL429</t>
  </si>
  <si>
    <t>ST JOHN OF GOD HOSPITAL - MURDOCH</t>
  </si>
  <si>
    <t>66001-746</t>
  </si>
  <si>
    <t>88002-630GA</t>
  </si>
  <si>
    <t>7S4P</t>
  </si>
  <si>
    <t>332554</t>
  </si>
  <si>
    <t>5/NC-C2000HT</t>
  </si>
  <si>
    <t>66003-168</t>
  </si>
  <si>
    <t>59001-010</t>
  </si>
  <si>
    <t>NICD</t>
  </si>
  <si>
    <t>332555</t>
  </si>
  <si>
    <t xml:space="preserve">10/IF1000AA </t>
  </si>
  <si>
    <t>66003-169</t>
  </si>
  <si>
    <t>35008-002A</t>
  </si>
  <si>
    <t>5S2P</t>
  </si>
  <si>
    <t>332707</t>
  </si>
  <si>
    <t>CA67</t>
  </si>
  <si>
    <t>ZEDFLO AUSTRALIA</t>
  </si>
  <si>
    <t>66000-714</t>
  </si>
  <si>
    <t>67000-349</t>
  </si>
  <si>
    <t>333130</t>
  </si>
  <si>
    <t>1/TSB-003</t>
  </si>
  <si>
    <t>CH638</t>
  </si>
  <si>
    <t>66003-171</t>
  </si>
  <si>
    <t>333109</t>
  </si>
  <si>
    <t>38/NCR18650GA</t>
  </si>
  <si>
    <t>RL1539</t>
  </si>
  <si>
    <t>PROCESS IQ PTY LTD</t>
  </si>
  <si>
    <t>67001-876</t>
  </si>
  <si>
    <t>1S38P</t>
  </si>
  <si>
    <t>333240</t>
  </si>
  <si>
    <t>333638</t>
  </si>
  <si>
    <t>2/UR18650ZY</t>
  </si>
  <si>
    <t>RL261A</t>
  </si>
  <si>
    <t>66000-493</t>
  </si>
  <si>
    <t>30007-109</t>
  </si>
  <si>
    <t>333633</t>
  </si>
  <si>
    <t>36/LR20XW</t>
  </si>
  <si>
    <t>AL123</t>
  </si>
  <si>
    <t>UNI OF WA (M470) EARTH &amp; ENVI (OLD M004)</t>
  </si>
  <si>
    <t>66000-180DEG</t>
  </si>
  <si>
    <t>46002-458</t>
  </si>
  <si>
    <t>9S4P</t>
  </si>
  <si>
    <t>333589</t>
  </si>
  <si>
    <t>45/LR6XW</t>
  </si>
  <si>
    <t>AL317</t>
  </si>
  <si>
    <t>CURTIN UNIVERSITY</t>
  </si>
  <si>
    <t>66000-633</t>
  </si>
  <si>
    <t>15S3P,15S3P</t>
  </si>
  <si>
    <t>Lab-Change Lead</t>
  </si>
  <si>
    <t>BATTERY ALL TYPES</t>
  </si>
  <si>
    <t>23754A</t>
  </si>
  <si>
    <t>333759</t>
  </si>
  <si>
    <t>20/NC2500SCR</t>
  </si>
  <si>
    <t>RECELL749</t>
  </si>
  <si>
    <t>BATTERY WORLD BELMONT (WA)</t>
  </si>
  <si>
    <t>22000-299R</t>
  </si>
  <si>
    <t>30000-300</t>
  </si>
  <si>
    <t>MB879D</t>
  </si>
  <si>
    <t>20S1P</t>
  </si>
  <si>
    <t>335302</t>
  </si>
  <si>
    <t>Lab-Conn</t>
  </si>
  <si>
    <t>FLEXI HEALTH REPAIR &amp; MAINTENANCE</t>
  </si>
  <si>
    <t>BOM - ENGINEERING</t>
  </si>
  <si>
    <t>2230</t>
  </si>
  <si>
    <t>335424</t>
  </si>
  <si>
    <t>1/12LFP11.4</t>
  </si>
  <si>
    <t>RL1744</t>
  </si>
  <si>
    <t>WESTERN SOLAR PTY LTD</t>
  </si>
  <si>
    <t>66003-187</t>
  </si>
  <si>
    <t>89006-019</t>
  </si>
  <si>
    <t>335681</t>
  </si>
  <si>
    <t>5/INR18650-25R</t>
  </si>
  <si>
    <t>COMFORT STYLE</t>
  </si>
  <si>
    <t>66004-154</t>
  </si>
  <si>
    <t>335300</t>
  </si>
  <si>
    <t>3/V40H</t>
  </si>
  <si>
    <t>N2089</t>
  </si>
  <si>
    <t>BATTERY WORLD MIDLAND</t>
  </si>
  <si>
    <t>20003-713E</t>
  </si>
  <si>
    <t>20003-621</t>
  </si>
  <si>
    <t>23879A</t>
  </si>
  <si>
    <t>335852</t>
  </si>
  <si>
    <t>1/12SB1.2P</t>
  </si>
  <si>
    <t>S19</t>
  </si>
  <si>
    <t>THE PSA GROUP</t>
  </si>
  <si>
    <t>66000-595</t>
  </si>
  <si>
    <t>60000-931</t>
  </si>
  <si>
    <t>336048</t>
  </si>
  <si>
    <t>RL1088</t>
  </si>
  <si>
    <t>BATTERY FORCE PTY LTD</t>
  </si>
  <si>
    <t>30008-102BWAB</t>
  </si>
  <si>
    <t>MB997</t>
  </si>
  <si>
    <t>336788</t>
  </si>
  <si>
    <t>1/NCR18650BF</t>
  </si>
  <si>
    <t>RL1598</t>
  </si>
  <si>
    <t>66002-915</t>
  </si>
  <si>
    <t>336984</t>
  </si>
  <si>
    <t>2/12LFP21</t>
  </si>
  <si>
    <t>RL1346</t>
  </si>
  <si>
    <t>HIGH ENERGY SERVICE PTY LTD</t>
  </si>
  <si>
    <t>66002-364</t>
  </si>
  <si>
    <t>89006-007</t>
  </si>
  <si>
    <t>337088</t>
  </si>
  <si>
    <t>2/LS33600</t>
  </si>
  <si>
    <t>L987</t>
  </si>
  <si>
    <t>WATER CORP LEEDERVILLE</t>
  </si>
  <si>
    <t>66002-795</t>
  </si>
  <si>
    <t>33003-085</t>
  </si>
  <si>
    <t>337356</t>
  </si>
  <si>
    <t>CUSTOM SOLAR JUNCTION BOX</t>
  </si>
  <si>
    <t>CA214</t>
  </si>
  <si>
    <t>66003-212</t>
  </si>
  <si>
    <t>337440</t>
  </si>
  <si>
    <t>VECIP67-24/8A</t>
  </si>
  <si>
    <t>CH598A</t>
  </si>
  <si>
    <t>64900-694XLR</t>
  </si>
  <si>
    <t>64900-694</t>
  </si>
  <si>
    <t>338375</t>
  </si>
  <si>
    <t>3/NCR18650BF</t>
  </si>
  <si>
    <t>RL815</t>
  </si>
  <si>
    <t>WA CASH SALES</t>
  </si>
  <si>
    <t>88003-112</t>
  </si>
  <si>
    <t>LICB-18650-3S1P-HC-F</t>
  </si>
  <si>
    <t>338978</t>
  </si>
  <si>
    <t>2/UF553450Z</t>
  </si>
  <si>
    <t>RECELL543</t>
  </si>
  <si>
    <t>22000-528K</t>
  </si>
  <si>
    <t>SK</t>
  </si>
  <si>
    <t>339139</t>
  </si>
  <si>
    <t xml:space="preserve">264/IFR26650-40A h </t>
  </si>
  <si>
    <t>RL1783</t>
  </si>
  <si>
    <t>RADLINK COMMUNICATIONS</t>
  </si>
  <si>
    <t>67001-973</t>
  </si>
  <si>
    <t>33003-143</t>
  </si>
  <si>
    <t>8S33P</t>
  </si>
  <si>
    <t>339152</t>
  </si>
  <si>
    <t>3/UR18650ZY</t>
  </si>
  <si>
    <t xml:space="preserve">RL144 </t>
  </si>
  <si>
    <t>ROBERTSON TECHNOLOGY PTY LTD</t>
  </si>
  <si>
    <t>66000-459</t>
  </si>
  <si>
    <t>Lilon</t>
  </si>
  <si>
    <t>339210</t>
  </si>
  <si>
    <t xml:space="preserve">5/LR20XW </t>
  </si>
  <si>
    <t>AL628</t>
  </si>
  <si>
    <t>MMA SUBSEA SERVICES PTY LTD</t>
  </si>
  <si>
    <t>66004-192</t>
  </si>
  <si>
    <t>339212</t>
  </si>
  <si>
    <t xml:space="preserve">1/TSB-003PCB </t>
  </si>
  <si>
    <t>CH642</t>
  </si>
  <si>
    <t>CLARATTI WORKSPACE</t>
  </si>
  <si>
    <t>66003-182</t>
  </si>
  <si>
    <t>335301</t>
  </si>
  <si>
    <t>28/NCR18650BD</t>
  </si>
  <si>
    <t>66003-186</t>
  </si>
  <si>
    <t>88002-630BD</t>
  </si>
  <si>
    <t>338910</t>
  </si>
  <si>
    <t>2/TSB-002PCB</t>
  </si>
  <si>
    <t>CH522B</t>
  </si>
  <si>
    <t>INTEGRATED INDUSTRIAL</t>
  </si>
  <si>
    <t>66002-571B</t>
  </si>
  <si>
    <t>339371</t>
  </si>
  <si>
    <t xml:space="preserve">1/LXRDD-5-1-SC-BC </t>
  </si>
  <si>
    <t>L865</t>
  </si>
  <si>
    <t>QTEQ PTY LTD</t>
  </si>
  <si>
    <t>67001-3486L865</t>
  </si>
  <si>
    <t>67001-3486</t>
  </si>
  <si>
    <t>339420</t>
  </si>
  <si>
    <t>4/NCR18650BD</t>
  </si>
  <si>
    <t>66003-234</t>
  </si>
  <si>
    <t>339844</t>
  </si>
  <si>
    <t>LABOUR</t>
  </si>
  <si>
    <t>SWITCH BATTERIES PTY LTD</t>
  </si>
  <si>
    <t>340078</t>
  </si>
  <si>
    <t>1/12LFP100PS</t>
  </si>
  <si>
    <t>RL1790</t>
  </si>
  <si>
    <t>MANGO ELECTRICAL &amp; MAINTENANCE</t>
  </si>
  <si>
    <t>88003-645</t>
  </si>
  <si>
    <t>89006-012A</t>
  </si>
  <si>
    <t>12LFP100PS</t>
  </si>
  <si>
    <t>340231</t>
  </si>
  <si>
    <t>340537</t>
  </si>
  <si>
    <t>L993</t>
  </si>
  <si>
    <t>BATTERY WORLD CANNING VALE</t>
  </si>
  <si>
    <t>22000-535F</t>
  </si>
  <si>
    <t>340675</t>
  </si>
  <si>
    <t>PAUL'S ECO E BIKE TOURS</t>
  </si>
  <si>
    <t>340793</t>
  </si>
  <si>
    <t>8/INR18650-30Q</t>
  </si>
  <si>
    <t>RL44B</t>
  </si>
  <si>
    <t>ELECTROMAGNETIC IMAGING TECHNOLOGY PTY LTD</t>
  </si>
  <si>
    <t>67001-771</t>
  </si>
  <si>
    <t>89003-124</t>
  </si>
  <si>
    <t>340958</t>
  </si>
  <si>
    <t>RL621A</t>
  </si>
  <si>
    <t>341179</t>
  </si>
  <si>
    <t>CH346</t>
  </si>
  <si>
    <t>66001-230</t>
  </si>
  <si>
    <t>67000-072</t>
  </si>
  <si>
    <t>341323</t>
  </si>
  <si>
    <t>HEATSHRINK</t>
  </si>
  <si>
    <t>SPX AIDS TO NAVIGATION PTY LTD</t>
  </si>
  <si>
    <t>65001-994</t>
  </si>
  <si>
    <t>20008-131B</t>
  </si>
  <si>
    <t>WAQC</t>
  </si>
  <si>
    <t xml:space="preserve">264/IFR26650-40A </t>
  </si>
  <si>
    <t>33P8S</t>
  </si>
  <si>
    <t>341808</t>
  </si>
  <si>
    <t>3/LS33600</t>
  </si>
  <si>
    <t>L593</t>
  </si>
  <si>
    <t>ROBOTIC SOLUTIONS WA PTY LTD</t>
  </si>
  <si>
    <t>66000-866B</t>
  </si>
  <si>
    <t>LiSOCl2</t>
  </si>
  <si>
    <t>341935</t>
  </si>
  <si>
    <t>10/HR-3UTHB</t>
  </si>
  <si>
    <t>N270</t>
  </si>
  <si>
    <t>66000-337</t>
  </si>
  <si>
    <t>33000-398B</t>
  </si>
  <si>
    <t>342169</t>
  </si>
  <si>
    <t>15S2P,15S1P</t>
  </si>
  <si>
    <t>342199</t>
  </si>
  <si>
    <t>6/HR-4/3AU</t>
  </si>
  <si>
    <t>STAFF SALES</t>
  </si>
  <si>
    <t>22000-348B</t>
  </si>
  <si>
    <t>30001-248</t>
  </si>
  <si>
    <t>342216</t>
  </si>
  <si>
    <t>EDI RAIL - ALSTOM TRANSPORT  (MAINT) P/L CLAISEBRK</t>
  </si>
  <si>
    <t>72P</t>
  </si>
  <si>
    <t>342289</t>
  </si>
  <si>
    <t>RL1845</t>
  </si>
  <si>
    <t>66003-280</t>
  </si>
  <si>
    <t>342831</t>
  </si>
  <si>
    <t>6/UR18650ZY</t>
  </si>
  <si>
    <t>RL323</t>
  </si>
  <si>
    <t>66000-562</t>
  </si>
  <si>
    <t>2S3P</t>
  </si>
  <si>
    <t>343123</t>
  </si>
  <si>
    <t>7/MH-C4500HT</t>
  </si>
  <si>
    <t>N1387A</t>
  </si>
  <si>
    <t>67001-425</t>
  </si>
  <si>
    <t>7S1P</t>
  </si>
  <si>
    <t>343161</t>
  </si>
  <si>
    <t>1/LXRDD-5-1-SC-BC</t>
  </si>
  <si>
    <t>LiSO2CI2</t>
  </si>
  <si>
    <t>343307</t>
  </si>
  <si>
    <t>12/UR18650ZY</t>
  </si>
  <si>
    <t>RL363</t>
  </si>
  <si>
    <t>CONTITECH AUSTRALIA PTY LTD (CONTINENTAL)</t>
  </si>
  <si>
    <t>66000-639</t>
  </si>
  <si>
    <t>6S2P</t>
  </si>
  <si>
    <t>342276</t>
  </si>
  <si>
    <t>15/NC2500SCR</t>
  </si>
  <si>
    <t>RECELL259</t>
  </si>
  <si>
    <t>BATTERY WORLD ARMADALE</t>
  </si>
  <si>
    <t>22000-446I</t>
  </si>
  <si>
    <t>25S1P</t>
  </si>
  <si>
    <t>343805</t>
  </si>
  <si>
    <t>N1387</t>
  </si>
  <si>
    <t>IMDEX TECHNOLOGY USA LLC (REFLEX)</t>
  </si>
  <si>
    <t>66000-909</t>
  </si>
  <si>
    <t>344403</t>
  </si>
  <si>
    <t>WALLIS DRILLING PTY LTD</t>
  </si>
  <si>
    <t>344375</t>
  </si>
  <si>
    <t>16/HR4/3FAU</t>
  </si>
  <si>
    <t>N1021</t>
  </si>
  <si>
    <t>66000-725</t>
  </si>
  <si>
    <t>30001-250</t>
  </si>
  <si>
    <t>16S1P</t>
  </si>
  <si>
    <t>345087</t>
  </si>
  <si>
    <t>72/LR20XW</t>
  </si>
  <si>
    <t>AL123D</t>
  </si>
  <si>
    <t>66000-182</t>
  </si>
  <si>
    <t>9S8P</t>
  </si>
  <si>
    <t>345145</t>
  </si>
  <si>
    <t>3/LS14500</t>
  </si>
  <si>
    <t>L300</t>
  </si>
  <si>
    <t>65000-765A</t>
  </si>
  <si>
    <t>345146</t>
  </si>
  <si>
    <t>345103</t>
  </si>
  <si>
    <t>345128</t>
  </si>
  <si>
    <t>TSB004PCBR1</t>
  </si>
  <si>
    <t>CH605</t>
  </si>
  <si>
    <t>LEICA GEOSYSTEMS PTY LIMITED (HEXAGON)</t>
  </si>
  <si>
    <t>66003-605</t>
  </si>
  <si>
    <t>345176</t>
  </si>
  <si>
    <t>345212</t>
  </si>
  <si>
    <t>L238A-1048</t>
  </si>
  <si>
    <t>66000-231A</t>
  </si>
  <si>
    <t>345246</t>
  </si>
  <si>
    <t>22/HHR-300SCP</t>
  </si>
  <si>
    <t>N1302</t>
  </si>
  <si>
    <t>UNICARE HEALTH</t>
  </si>
  <si>
    <t>22000-090D</t>
  </si>
  <si>
    <t>46001-630</t>
  </si>
  <si>
    <t>MB520</t>
  </si>
  <si>
    <t>22S1P</t>
  </si>
  <si>
    <t>345306</t>
  </si>
  <si>
    <t>345295</t>
  </si>
  <si>
    <t xml:space="preserve">TSB-003PCB </t>
  </si>
  <si>
    <t xml:space="preserve">CH157 </t>
  </si>
  <si>
    <t>66000-066</t>
  </si>
  <si>
    <t>345296</t>
  </si>
  <si>
    <t>345297</t>
  </si>
  <si>
    <t>CH157</t>
  </si>
  <si>
    <t>345355</t>
  </si>
  <si>
    <t>CH1-MBM06</t>
  </si>
  <si>
    <t>CH582</t>
  </si>
  <si>
    <t>BATTERY WORLD MADDINGTON</t>
  </si>
  <si>
    <t>20006-473MBM06</t>
  </si>
  <si>
    <t>20006-473HIABXS-C</t>
  </si>
  <si>
    <t>23904A</t>
  </si>
  <si>
    <t>345518</t>
  </si>
  <si>
    <t>ELEXACOM</t>
  </si>
  <si>
    <t>66003-335</t>
  </si>
  <si>
    <t>345688</t>
  </si>
  <si>
    <t>16/UR18650ZY</t>
  </si>
  <si>
    <t>RL278MIB</t>
  </si>
  <si>
    <t>66000-7922</t>
  </si>
  <si>
    <t>345622</t>
  </si>
  <si>
    <t xml:space="preserve">10/KH-D10000  </t>
  </si>
  <si>
    <t>N1217REV2</t>
  </si>
  <si>
    <t>66000-810 REV2</t>
  </si>
  <si>
    <t>345770</t>
  </si>
  <si>
    <t>3/INR26650-50A</t>
  </si>
  <si>
    <t>DH62</t>
  </si>
  <si>
    <t>MISSION CRITICAL GROUP PTY LTD (MCG) (MCQ)</t>
  </si>
  <si>
    <t>66003-155</t>
  </si>
  <si>
    <t>67001-531</t>
  </si>
  <si>
    <t xml:space="preserve"> LIION </t>
  </si>
  <si>
    <t>345768</t>
  </si>
  <si>
    <t xml:space="preserve"> 1/TSB-003A</t>
  </si>
  <si>
    <t>CH649</t>
  </si>
  <si>
    <t>66003-649</t>
  </si>
  <si>
    <t>345901</t>
  </si>
  <si>
    <t>1/INR21700-50E</t>
  </si>
  <si>
    <t>RL1606</t>
  </si>
  <si>
    <t>ORIGO PTY LTD</t>
  </si>
  <si>
    <t>66002-924</t>
  </si>
  <si>
    <t xml:space="preserve"> LiIon</t>
  </si>
  <si>
    <t>345902</t>
  </si>
  <si>
    <t>1/NCR18650GA</t>
  </si>
  <si>
    <t>RL1287</t>
  </si>
  <si>
    <t>66002-206</t>
  </si>
  <si>
    <t>345893</t>
  </si>
  <si>
    <t>345903</t>
  </si>
  <si>
    <t>3/ITL4000D</t>
  </si>
  <si>
    <t>N2180</t>
  </si>
  <si>
    <t>SERCO AUSTRALIA PTY LTD</t>
  </si>
  <si>
    <t>66003-350</t>
  </si>
  <si>
    <t>35008-013</t>
  </si>
  <si>
    <t>NiCd</t>
  </si>
  <si>
    <t>345923</t>
  </si>
  <si>
    <t>5/NCR18650BF</t>
  </si>
  <si>
    <t>RL1440</t>
  </si>
  <si>
    <t>67001-849</t>
  </si>
  <si>
    <t>1S5P</t>
  </si>
  <si>
    <t>345957</t>
  </si>
  <si>
    <t>12/UR18650A</t>
  </si>
  <si>
    <t>RL638PKA</t>
  </si>
  <si>
    <t>66000-887PKA</t>
  </si>
  <si>
    <t>345958</t>
  </si>
  <si>
    <t>345959</t>
  </si>
  <si>
    <t>RL638PKB</t>
  </si>
  <si>
    <t>66000-887PKB</t>
  </si>
  <si>
    <t>345985</t>
  </si>
  <si>
    <t>5/IT1800Cs</t>
  </si>
  <si>
    <t>N2171</t>
  </si>
  <si>
    <t>66003-340</t>
  </si>
  <si>
    <t>35008-005A</t>
  </si>
  <si>
    <t>345986</t>
  </si>
  <si>
    <t>5/ITL4000D</t>
  </si>
  <si>
    <t>N2172</t>
  </si>
  <si>
    <t>66003-341</t>
  </si>
  <si>
    <t>345987</t>
  </si>
  <si>
    <t>7/IT1800Cs</t>
  </si>
  <si>
    <t>N2176</t>
  </si>
  <si>
    <t>66003-345</t>
  </si>
  <si>
    <t>345988</t>
  </si>
  <si>
    <t>N2173</t>
  </si>
  <si>
    <t>66003-342</t>
  </si>
  <si>
    <t>345989</t>
  </si>
  <si>
    <t>N2174</t>
  </si>
  <si>
    <t>66003-343</t>
  </si>
  <si>
    <t>346003</t>
  </si>
  <si>
    <t>6/HR-3UTHC</t>
  </si>
  <si>
    <t>N289A</t>
  </si>
  <si>
    <t>67001-392A</t>
  </si>
  <si>
    <t>KG</t>
  </si>
  <si>
    <t>346028</t>
  </si>
  <si>
    <t>4/IT1800Cs</t>
  </si>
  <si>
    <t>N2175</t>
  </si>
  <si>
    <t>66003-344</t>
  </si>
  <si>
    <t>346033</t>
  </si>
  <si>
    <t>10/IT1600Cs</t>
  </si>
  <si>
    <t>N2157</t>
  </si>
  <si>
    <t>PRO-LAMPS PTY LTD</t>
  </si>
  <si>
    <t>66003-325</t>
  </si>
  <si>
    <t>35008-005</t>
  </si>
  <si>
    <t>346163</t>
  </si>
  <si>
    <t>RECELL 381</t>
  </si>
  <si>
    <t>BATTERY WORLD MALAGA</t>
  </si>
  <si>
    <t>23947A</t>
  </si>
  <si>
    <t>346170</t>
  </si>
  <si>
    <t>7/INR18650-30Q</t>
  </si>
  <si>
    <t>RECELL709</t>
  </si>
  <si>
    <t>22000-999C</t>
  </si>
  <si>
    <t>346160</t>
  </si>
  <si>
    <t>5/3B5100-FF</t>
  </si>
  <si>
    <t>ARCHER WELL COMPANY PTY LTD</t>
  </si>
  <si>
    <t>346176</t>
  </si>
  <si>
    <t>10/NC-1900SCR</t>
  </si>
  <si>
    <t>N393</t>
  </si>
  <si>
    <t>ACS / MARCOMM</t>
  </si>
  <si>
    <t>66000-372</t>
  </si>
  <si>
    <t>30000-310</t>
  </si>
  <si>
    <t>346182</t>
  </si>
  <si>
    <t>CH1-MH0707</t>
  </si>
  <si>
    <t>CH584</t>
  </si>
  <si>
    <t>MMEM KARRATHA (GAP RIDGE)</t>
  </si>
  <si>
    <t>20006-473MH0707</t>
  </si>
  <si>
    <t>MME685</t>
  </si>
  <si>
    <t>346188</t>
  </si>
  <si>
    <t>4/INR21700-50G</t>
  </si>
  <si>
    <t>RL1902</t>
  </si>
  <si>
    <t>PRECISION MINING AND DRILLING PTY LTD</t>
  </si>
  <si>
    <t>66003-354</t>
  </si>
  <si>
    <t>89003-129G</t>
  </si>
  <si>
    <t>346190</t>
  </si>
  <si>
    <t>2/12SB2.3P</t>
  </si>
  <si>
    <t>S129</t>
  </si>
  <si>
    <t>AUS GARAGE DOOR PARTS</t>
  </si>
  <si>
    <t>67001-883</t>
  </si>
  <si>
    <t>60000-929</t>
  </si>
  <si>
    <t>346214</t>
  </si>
  <si>
    <t>1/2AA</t>
  </si>
  <si>
    <t>L687</t>
  </si>
  <si>
    <t>33003-050CLG</t>
  </si>
  <si>
    <t>33003-050</t>
  </si>
  <si>
    <t>346216</t>
  </si>
  <si>
    <t>346243</t>
  </si>
  <si>
    <t>168/NCR18650GA</t>
  </si>
  <si>
    <t>RL1247A</t>
  </si>
  <si>
    <t>CSIRO HOBART</t>
  </si>
  <si>
    <t>67001-733A</t>
  </si>
  <si>
    <t>7S24P</t>
  </si>
  <si>
    <t>346245</t>
  </si>
  <si>
    <t>6/N3000CR</t>
  </si>
  <si>
    <t>N405</t>
  </si>
  <si>
    <t>30003-856AA</t>
  </si>
  <si>
    <t>30000-371</t>
  </si>
  <si>
    <t>346267</t>
  </si>
  <si>
    <t>J BLACKWOODS &amp; SON PTY LIMITED</t>
  </si>
  <si>
    <t>346274</t>
  </si>
  <si>
    <t>4/ITL4000D</t>
  </si>
  <si>
    <t>N574</t>
  </si>
  <si>
    <t>30004-354CLMSPD</t>
  </si>
  <si>
    <t>35008-114</t>
  </si>
  <si>
    <t>346275</t>
  </si>
  <si>
    <t>1/TSB-003APCB</t>
  </si>
  <si>
    <t>CH664</t>
  </si>
  <si>
    <t>66003-687</t>
  </si>
  <si>
    <t>23879B</t>
  </si>
  <si>
    <t>346292</t>
  </si>
  <si>
    <t>1/TSB-003PCB</t>
  </si>
  <si>
    <t>CH552</t>
  </si>
  <si>
    <t>SPX AIDS TO NAVIGATION USA LLC (USD ACCOUNT)</t>
  </si>
  <si>
    <t>66002-743</t>
  </si>
  <si>
    <t>1735A</t>
  </si>
  <si>
    <t>346296</t>
  </si>
  <si>
    <t>18/LR6XW</t>
  </si>
  <si>
    <t>AL97</t>
  </si>
  <si>
    <t>TECHNAUTICS PTY LTD</t>
  </si>
  <si>
    <t>66000-313</t>
  </si>
  <si>
    <t>Alkaline</t>
  </si>
  <si>
    <t>9S2P</t>
  </si>
  <si>
    <t>346302</t>
  </si>
  <si>
    <t>20/IFR26650-33A</t>
  </si>
  <si>
    <t>RL1597A</t>
  </si>
  <si>
    <t>EVERY BATTERY BELMONT</t>
  </si>
  <si>
    <t>66002-909A</t>
  </si>
  <si>
    <t>33003-140</t>
  </si>
  <si>
    <t>4S5P</t>
  </si>
  <si>
    <t>28477I</t>
  </si>
  <si>
    <t>346306</t>
  </si>
  <si>
    <t>20/HHR-300SCPY06</t>
  </si>
  <si>
    <t>RECELL554</t>
  </si>
  <si>
    <t>WA HEALTH CORPORATE NETWORK</t>
  </si>
  <si>
    <t>66002-203</t>
  </si>
  <si>
    <t>46001-631</t>
  </si>
  <si>
    <t>346308</t>
  </si>
  <si>
    <t>3/HR-3UTHC</t>
  </si>
  <si>
    <t>N1876</t>
  </si>
  <si>
    <t>66002-147</t>
  </si>
  <si>
    <t>346310</t>
  </si>
  <si>
    <t>21/NCR20700B</t>
  </si>
  <si>
    <t>RL1142A</t>
  </si>
  <si>
    <t>RENNISONS PTY LTD</t>
  </si>
  <si>
    <t>66001-5360</t>
  </si>
  <si>
    <t>88002-665</t>
  </si>
  <si>
    <t>346313</t>
  </si>
  <si>
    <t>3/12SB0.8P</t>
  </si>
  <si>
    <t>S112</t>
  </si>
  <si>
    <t>GO DOORS PTY LTD</t>
  </si>
  <si>
    <t>60000-930CRE</t>
  </si>
  <si>
    <t>60000-930</t>
  </si>
  <si>
    <t>346315</t>
  </si>
  <si>
    <t>PROPIPE DYNAMICS</t>
  </si>
  <si>
    <t>12, 24</t>
  </si>
  <si>
    <t>1S2P,2S2P</t>
  </si>
  <si>
    <t>346328</t>
  </si>
  <si>
    <t>346329</t>
  </si>
  <si>
    <t>4/MH-AA1500HT</t>
  </si>
  <si>
    <t>N1422</t>
  </si>
  <si>
    <t>CNW PTY LTD - GERALDTON</t>
  </si>
  <si>
    <t>59001-404EKT</t>
  </si>
  <si>
    <t>59001-022</t>
  </si>
  <si>
    <t>CNW165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</si>
</sst>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m/yyyy;@"/>
    <numFmt numFmtId="165" formatCode="0.000"/>
    <numFmt numFmtId="166" formatCode="d/m/yy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000000"/>
      <name val="Microsoft Sans Serif"/>
      <family val="2"/>
    </font>
    <font>
      <u/>
      <sz val="8"/>
      <color rgb="FF0000FF"/>
      <name val="Microsoft Sans Serif"/>
      <family val="2"/>
    </font>
    <font>
      <b/>
      <sz val="8"/>
      <color theme="1"/>
      <name val="Calibri"/>
      <family val="2"/>
      <scheme val="minor"/>
    </font>
    <font>
      <b/>
      <sz val="8"/>
      <color rgb="FF002060"/>
      <name val="Calibri"/>
      <family val="2"/>
      <scheme val="minor"/>
    </font>
    <font>
      <sz val="8"/>
      <color rgb="FF002060"/>
      <name val="Microsoft Sans Serif"/>
      <family val="2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0" fillId="2" borderId="1" xfId="0" applyFill="1" applyBorder="1"/>
    <xf numFmtId="0" fontId="0" fillId="2" borderId="2" xfId="0" applyFill="1" applyBorder="1" applyAlignment="1">
      <alignment horizontal="left"/>
    </xf>
    <xf numFmtId="0" fontId="0" fillId="2" borderId="3" xfId="0" applyFill="1" applyBorder="1"/>
    <xf numFmtId="164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2" fontId="0" fillId="2" borderId="1" xfId="0" applyNumberFormat="1" applyFill="1" applyBorder="1"/>
    <xf numFmtId="0" fontId="0" fillId="2" borderId="4" xfId="0" applyFill="1" applyBorder="1"/>
    <xf numFmtId="0" fontId="2" fillId="2" borderId="1" xfId="0" applyFont="1" applyFill="1" applyBorder="1"/>
    <xf numFmtId="2" fontId="2" fillId="2" borderId="1" xfId="0" applyNumberFormat="1" applyFont="1" applyFill="1" applyBorder="1"/>
    <xf numFmtId="165" fontId="2" fillId="2" borderId="1" xfId="0" applyNumberFormat="1" applyFont="1" applyFill="1" applyBorder="1"/>
    <xf numFmtId="0" fontId="2" fillId="2" borderId="4" xfId="0" applyFont="1" applyFill="1" applyBorder="1" applyAlignment="1">
      <alignment horizontal="left"/>
    </xf>
    <xf numFmtId="14" fontId="2" fillId="3" borderId="1" xfId="0" applyNumberFormat="1" applyFont="1" applyFill="1" applyBorder="1"/>
    <xf numFmtId="0" fontId="3" fillId="3" borderId="1" xfId="0" applyFont="1" applyFill="1" applyBorder="1" applyAlignment="1">
      <alignment horizontal="left" vertical="center"/>
    </xf>
    <xf numFmtId="0" fontId="3" fillId="4" borderId="3" xfId="0" applyFont="1" applyFill="1" applyBorder="1" applyAlignment="1">
      <alignment horizontal="left" vertical="center"/>
    </xf>
    <xf numFmtId="0" fontId="3" fillId="4" borderId="1" xfId="0" applyFont="1" applyFill="1" applyBorder="1" applyAlignment="1">
      <alignment horizontal="left" vertical="center"/>
    </xf>
    <xf numFmtId="166" fontId="3" fillId="0" borderId="1" xfId="0" applyNumberFormat="1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right" vertical="center"/>
    </xf>
    <xf numFmtId="0" fontId="0" fillId="0" borderId="1" xfId="0" applyBorder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/>
    <xf numFmtId="2" fontId="2" fillId="4" borderId="1" xfId="0" applyNumberFormat="1" applyFont="1" applyFill="1" applyBorder="1"/>
    <xf numFmtId="0" fontId="2" fillId="5" borderId="1" xfId="0" applyFont="1" applyFill="1" applyBorder="1"/>
    <xf numFmtId="0" fontId="2" fillId="0" borderId="1" xfId="0" applyFont="1" applyBorder="1"/>
    <xf numFmtId="2" fontId="2" fillId="0" borderId="1" xfId="0" applyNumberFormat="1" applyFont="1" applyBorder="1"/>
    <xf numFmtId="2" fontId="0" fillId="0" borderId="1" xfId="0" applyNumberFormat="1" applyBorder="1"/>
    <xf numFmtId="165" fontId="0" fillId="0" borderId="1" xfId="0" applyNumberFormat="1" applyBorder="1"/>
    <xf numFmtId="0" fontId="0" fillId="0" borderId="1" xfId="0" applyBorder="1" applyAlignment="1">
      <alignment horizontal="left"/>
    </xf>
    <xf numFmtId="14" fontId="3" fillId="0" borderId="1" xfId="0" applyNumberFormat="1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14" fontId="2" fillId="6" borderId="1" xfId="0" applyNumberFormat="1" applyFont="1" applyFill="1" applyBorder="1"/>
    <xf numFmtId="1" fontId="2" fillId="6" borderId="1" xfId="0" applyNumberFormat="1" applyFont="1" applyFill="1" applyBorder="1" applyAlignment="1">
      <alignment horizontal="left"/>
    </xf>
    <xf numFmtId="0" fontId="2" fillId="4" borderId="3" xfId="0" applyFont="1" applyFill="1" applyBorder="1"/>
    <xf numFmtId="166" fontId="2" fillId="0" borderId="1" xfId="0" applyNumberFormat="1" applyFont="1" applyBorder="1" applyAlignment="1">
      <alignment horizontal="left"/>
    </xf>
    <xf numFmtId="14" fontId="2" fillId="7" borderId="1" xfId="0" applyNumberFormat="1" applyFont="1" applyFill="1" applyBorder="1"/>
    <xf numFmtId="0" fontId="3" fillId="7" borderId="1" xfId="0" applyFont="1" applyFill="1" applyBorder="1" applyAlignment="1">
      <alignment horizontal="left" vertical="center"/>
    </xf>
    <xf numFmtId="14" fontId="5" fillId="6" borderId="5" xfId="0" applyNumberFormat="1" applyFont="1" applyFill="1" applyBorder="1"/>
    <xf numFmtId="0" fontId="3" fillId="6" borderId="1" xfId="0" applyFont="1" applyFill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166" fontId="3" fillId="0" borderId="5" xfId="0" applyNumberFormat="1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3" fillId="0" borderId="5" xfId="0" applyFont="1" applyBorder="1" applyAlignment="1">
      <alignment horizontal="right" vertical="center"/>
    </xf>
    <xf numFmtId="0" fontId="0" fillId="0" borderId="5" xfId="0" applyBorder="1"/>
    <xf numFmtId="0" fontId="5" fillId="4" borderId="5" xfId="0" applyFont="1" applyFill="1" applyBorder="1" applyAlignment="1">
      <alignment horizontal="left"/>
    </xf>
    <xf numFmtId="0" fontId="5" fillId="4" borderId="5" xfId="0" applyFont="1" applyFill="1" applyBorder="1"/>
    <xf numFmtId="2" fontId="5" fillId="4" borderId="5" xfId="0" applyNumberFormat="1" applyFont="1" applyFill="1" applyBorder="1"/>
    <xf numFmtId="0" fontId="5" fillId="5" borderId="5" xfId="0" applyFont="1" applyFill="1" applyBorder="1"/>
    <xf numFmtId="0" fontId="5" fillId="0" borderId="5" xfId="0" applyFont="1" applyBorder="1"/>
    <xf numFmtId="2" fontId="5" fillId="0" borderId="5" xfId="0" applyNumberFormat="1" applyFont="1" applyBorder="1"/>
    <xf numFmtId="2" fontId="1" fillId="0" borderId="5" xfId="0" applyNumberFormat="1" applyFont="1" applyBorder="1"/>
    <xf numFmtId="165" fontId="1" fillId="0" borderId="5" xfId="0" applyNumberFormat="1" applyFont="1" applyBorder="1"/>
    <xf numFmtId="0" fontId="0" fillId="0" borderId="5" xfId="0" applyBorder="1" applyAlignment="1">
      <alignment horizontal="left"/>
    </xf>
    <xf numFmtId="14" fontId="3" fillId="0" borderId="5" xfId="0" applyNumberFormat="1" applyFont="1" applyBorder="1" applyAlignment="1">
      <alignment horizontal="left" vertical="center"/>
    </xf>
    <xf numFmtId="14" fontId="5" fillId="8" borderId="1" xfId="0" applyNumberFormat="1" applyFont="1" applyFill="1" applyBorder="1"/>
    <xf numFmtId="0" fontId="3" fillId="8" borderId="1" xfId="0" applyFont="1" applyFill="1" applyBorder="1" applyAlignment="1">
      <alignment horizontal="left" vertical="center"/>
    </xf>
    <xf numFmtId="0" fontId="5" fillId="4" borderId="1" xfId="0" applyFont="1" applyFill="1" applyBorder="1" applyAlignment="1">
      <alignment horizontal="left"/>
    </xf>
    <xf numFmtId="0" fontId="5" fillId="4" borderId="1" xfId="0" applyFont="1" applyFill="1" applyBorder="1"/>
    <xf numFmtId="2" fontId="5" fillId="4" borderId="1" xfId="0" applyNumberFormat="1" applyFont="1" applyFill="1" applyBorder="1"/>
    <xf numFmtId="0" fontId="5" fillId="5" borderId="1" xfId="0" applyFont="1" applyFill="1" applyBorder="1"/>
    <xf numFmtId="0" fontId="5" fillId="0" borderId="1" xfId="0" applyFont="1" applyBorder="1"/>
    <xf numFmtId="2" fontId="5" fillId="0" borderId="1" xfId="0" applyNumberFormat="1" applyFont="1" applyBorder="1"/>
    <xf numFmtId="2" fontId="1" fillId="0" borderId="1" xfId="0" applyNumberFormat="1" applyFont="1" applyBorder="1"/>
    <xf numFmtId="165" fontId="1" fillId="0" borderId="1" xfId="0" applyNumberFormat="1" applyFont="1" applyBorder="1"/>
    <xf numFmtId="14" fontId="5" fillId="3" borderId="1" xfId="0" applyNumberFormat="1" applyFont="1" applyFill="1" applyBorder="1"/>
    <xf numFmtId="14" fontId="5" fillId="6" borderId="1" xfId="0" applyNumberFormat="1" applyFont="1" applyFill="1" applyBorder="1"/>
    <xf numFmtId="14" fontId="6" fillId="7" borderId="1" xfId="0" applyNumberFormat="1" applyFont="1" applyFill="1" applyBorder="1"/>
    <xf numFmtId="0" fontId="7" fillId="7" borderId="1" xfId="0" applyFont="1" applyFill="1" applyBorder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14" fontId="5" fillId="7" borderId="1" xfId="0" applyNumberFormat="1" applyFont="1" applyFill="1" applyBorder="1"/>
    <xf numFmtId="14" fontId="5" fillId="9" borderId="1" xfId="0" applyNumberFormat="1" applyFont="1" applyFill="1" applyBorder="1"/>
    <xf numFmtId="0" fontId="3" fillId="9" borderId="1" xfId="0" applyFont="1" applyFill="1" applyBorder="1" applyAlignment="1">
      <alignment horizontal="left" vertical="center"/>
    </xf>
    <xf numFmtId="0" fontId="5" fillId="0" borderId="3" xfId="0" applyFont="1" applyBorder="1"/>
    <xf numFmtId="14" fontId="5" fillId="10" borderId="1" xfId="0" applyNumberFormat="1" applyFont="1" applyFill="1" applyBorder="1"/>
    <xf numFmtId="0" fontId="3" fillId="10" borderId="1" xfId="0" applyFont="1" applyFill="1" applyBorder="1" applyAlignment="1">
      <alignment horizontal="left" vertical="center"/>
    </xf>
    <xf numFmtId="0" fontId="3" fillId="11" borderId="1" xfId="0" applyFont="1" applyFill="1" applyBorder="1" applyAlignment="1">
      <alignment horizontal="left" vertical="center"/>
    </xf>
    <xf numFmtId="166" fontId="3" fillId="11" borderId="1" xfId="0" applyNumberFormat="1" applyFont="1" applyFill="1" applyBorder="1" applyAlignment="1">
      <alignment horizontal="left" vertical="center"/>
    </xf>
    <xf numFmtId="0" fontId="4" fillId="11" borderId="1" xfId="0" applyFont="1" applyFill="1" applyBorder="1" applyAlignment="1">
      <alignment horizontal="left" vertical="center"/>
    </xf>
    <xf numFmtId="0" fontId="3" fillId="11" borderId="1" xfId="0" applyFont="1" applyFill="1" applyBorder="1" applyAlignment="1">
      <alignment horizontal="right" vertical="center"/>
    </xf>
    <xf numFmtId="0" fontId="3" fillId="3" borderId="5" xfId="0" applyFont="1" applyFill="1" applyBorder="1" applyAlignment="1">
      <alignment horizontal="left" vertical="center"/>
    </xf>
    <xf numFmtId="0" fontId="0" fillId="11" borderId="1" xfId="0" applyFill="1" applyBorder="1"/>
    <xf numFmtId="0" fontId="3" fillId="8" borderId="5" xfId="0" applyFont="1" applyFill="1" applyBorder="1" applyAlignment="1">
      <alignment horizontal="left" vertical="center"/>
    </xf>
    <xf numFmtId="14" fontId="5" fillId="9" borderId="7" xfId="0" applyNumberFormat="1" applyFont="1" applyFill="1" applyBorder="1"/>
    <xf numFmtId="0" fontId="5" fillId="4" borderId="3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4F32D-44A5-4899-AF5C-86CC1DD7E0EF}">
  <dimension ref="A1:AI195"/>
  <sheetViews>
    <sheetView tabSelected="1" workbookViewId="0">
      <selection sqref="A1:AI195"/>
    </sheetView>
  </sheetViews>
  <sheetFormatPr defaultRowHeight="15" x14ac:dyDescent="0.25"/>
  <sheetData>
    <row r="1" spans="1:35" x14ac:dyDescent="0.25">
      <c r="A1" s="1" t="s">
        <v>0</v>
      </c>
      <c r="B1" s="2" t="s">
        <v>1</v>
      </c>
      <c r="C1" s="3" t="s">
        <v>2</v>
      </c>
      <c r="D1" s="1" t="s">
        <v>3</v>
      </c>
      <c r="E1" s="4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5" t="s">
        <v>10</v>
      </c>
      <c r="L1" s="1" t="s">
        <v>11</v>
      </c>
      <c r="M1" s="1" t="s">
        <v>12</v>
      </c>
      <c r="N1" s="1" t="s">
        <v>13</v>
      </c>
      <c r="O1" s="6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7" t="s">
        <v>21</v>
      </c>
      <c r="W1" s="8" t="s">
        <v>22</v>
      </c>
      <c r="X1" s="9" t="s">
        <v>23</v>
      </c>
      <c r="Y1" s="8" t="s">
        <v>24</v>
      </c>
      <c r="Z1" s="8" t="s">
        <v>25</v>
      </c>
      <c r="AA1" s="8" t="s">
        <v>26</v>
      </c>
      <c r="AB1" s="8" t="s">
        <v>27</v>
      </c>
      <c r="AC1" s="8" t="s">
        <v>28</v>
      </c>
      <c r="AD1" s="8" t="s">
        <v>29</v>
      </c>
      <c r="AE1" s="9" t="s">
        <v>30</v>
      </c>
      <c r="AF1" s="10" t="s">
        <v>31</v>
      </c>
      <c r="AG1" s="8" t="s">
        <v>32</v>
      </c>
      <c r="AH1" s="11" t="s">
        <v>33</v>
      </c>
      <c r="AI1" s="1" t="s">
        <v>34</v>
      </c>
    </row>
    <row r="2" spans="1:35" x14ac:dyDescent="0.25">
      <c r="A2" s="12">
        <v>44215</v>
      </c>
      <c r="B2" s="13" t="s">
        <v>35</v>
      </c>
      <c r="C2" s="14" t="s">
        <v>36</v>
      </c>
      <c r="D2" s="15" t="s">
        <v>37</v>
      </c>
      <c r="E2" s="16">
        <v>44218</v>
      </c>
      <c r="F2" s="17" t="s">
        <v>38</v>
      </c>
      <c r="G2" s="18" t="s">
        <v>39</v>
      </c>
      <c r="H2" s="19">
        <v>1</v>
      </c>
      <c r="I2" s="17" t="s">
        <v>40</v>
      </c>
      <c r="J2" s="20">
        <v>1017.57</v>
      </c>
      <c r="K2" s="21">
        <v>900755</v>
      </c>
      <c r="L2" s="22"/>
      <c r="M2" s="22">
        <v>12.8</v>
      </c>
      <c r="N2" s="22">
        <v>100</v>
      </c>
      <c r="O2" s="23">
        <f t="shared" ref="O2:O30" si="0">N2*M2</f>
        <v>1280</v>
      </c>
      <c r="P2" s="22" t="s">
        <v>41</v>
      </c>
      <c r="Q2" s="22" t="s">
        <v>42</v>
      </c>
      <c r="R2" s="24"/>
      <c r="S2" s="24"/>
      <c r="T2" s="24"/>
      <c r="U2" s="24"/>
      <c r="V2" s="24"/>
      <c r="W2" s="25">
        <v>8</v>
      </c>
      <c r="X2" s="26">
        <v>1360</v>
      </c>
      <c r="Y2" s="25" t="str">
        <f t="shared" ref="Y2:Y65" si="1">D2</f>
        <v>RL1432</v>
      </c>
      <c r="Z2" s="25" t="str">
        <f t="shared" ref="Z2:Z65" si="2">C2</f>
        <v>1/ RV12100</v>
      </c>
      <c r="AA2" s="26">
        <f t="shared" ref="AA2:AA65" si="3">W2</f>
        <v>8</v>
      </c>
      <c r="AB2" s="26">
        <f t="shared" ref="AB2:AB15" si="4">J2</f>
        <v>1017.57</v>
      </c>
      <c r="AC2" s="25">
        <f t="shared" ref="AC2:AC65" si="5">X2</f>
        <v>1360</v>
      </c>
      <c r="AD2" s="25" t="str">
        <f t="shared" ref="AD2:AD41" si="6">G2</f>
        <v>66003-001</v>
      </c>
      <c r="AE2" s="27"/>
      <c r="AF2" s="28"/>
      <c r="AG2" s="20" t="s">
        <v>43</v>
      </c>
      <c r="AH2" s="29">
        <v>1796</v>
      </c>
      <c r="AI2" s="30">
        <v>45336</v>
      </c>
    </row>
    <row r="3" spans="1:35" x14ac:dyDescent="0.25">
      <c r="A3" s="12">
        <v>44271</v>
      </c>
      <c r="B3" s="13" t="s">
        <v>44</v>
      </c>
      <c r="C3" s="31"/>
      <c r="D3" s="17" t="s">
        <v>45</v>
      </c>
      <c r="E3" s="16">
        <v>44291</v>
      </c>
      <c r="F3" s="17" t="s">
        <v>46</v>
      </c>
      <c r="G3" s="18" t="s">
        <v>47</v>
      </c>
      <c r="H3" s="19">
        <v>300</v>
      </c>
      <c r="I3" s="25"/>
      <c r="J3" s="22">
        <v>0</v>
      </c>
      <c r="K3" s="21">
        <v>907578</v>
      </c>
      <c r="L3" s="22"/>
      <c r="M3" s="22"/>
      <c r="N3" s="22"/>
      <c r="O3" s="23">
        <f t="shared" si="0"/>
        <v>0</v>
      </c>
      <c r="P3" s="22"/>
      <c r="Q3" s="22"/>
      <c r="R3" s="24"/>
      <c r="S3" s="24"/>
      <c r="T3" s="24"/>
      <c r="U3" s="24"/>
      <c r="V3" s="24"/>
      <c r="W3" s="25">
        <v>0.05</v>
      </c>
      <c r="X3" s="26">
        <v>3.75</v>
      </c>
      <c r="Y3" s="25" t="str">
        <f t="shared" si="1"/>
        <v>CE184-LAB</v>
      </c>
      <c r="Z3" s="25">
        <f t="shared" si="2"/>
        <v>0</v>
      </c>
      <c r="AA3" s="26">
        <f t="shared" si="3"/>
        <v>0.05</v>
      </c>
      <c r="AB3" s="26">
        <f t="shared" si="4"/>
        <v>0</v>
      </c>
      <c r="AC3" s="25">
        <f t="shared" si="5"/>
        <v>3.75</v>
      </c>
      <c r="AD3" s="25" t="str">
        <f t="shared" si="6"/>
        <v>67001-853</v>
      </c>
      <c r="AE3" s="27"/>
      <c r="AF3" s="28"/>
      <c r="AG3" s="20" t="s">
        <v>43</v>
      </c>
      <c r="AH3" s="29">
        <v>65551</v>
      </c>
      <c r="AI3" s="30">
        <v>45076</v>
      </c>
    </row>
    <row r="4" spans="1:35" x14ac:dyDescent="0.25">
      <c r="A4" s="12">
        <v>44271</v>
      </c>
      <c r="B4" s="13" t="s">
        <v>48</v>
      </c>
      <c r="C4" s="14"/>
      <c r="D4" s="15" t="s">
        <v>49</v>
      </c>
      <c r="E4" s="16">
        <v>44291</v>
      </c>
      <c r="F4" s="17" t="s">
        <v>46</v>
      </c>
      <c r="G4" s="18" t="s">
        <v>50</v>
      </c>
      <c r="H4" s="19">
        <v>300</v>
      </c>
      <c r="I4" s="25"/>
      <c r="J4" s="22">
        <v>0</v>
      </c>
      <c r="K4" s="21">
        <v>907578</v>
      </c>
      <c r="L4" s="22"/>
      <c r="M4" s="22"/>
      <c r="N4" s="22"/>
      <c r="O4" s="23">
        <f t="shared" si="0"/>
        <v>0</v>
      </c>
      <c r="P4" s="22"/>
      <c r="Q4" s="22"/>
      <c r="R4" s="24"/>
      <c r="S4" s="24"/>
      <c r="T4" s="24"/>
      <c r="U4" s="24"/>
      <c r="V4" s="24"/>
      <c r="W4" s="25">
        <v>0.05</v>
      </c>
      <c r="X4" s="26">
        <v>3.75</v>
      </c>
      <c r="Y4" s="25" t="str">
        <f t="shared" si="1"/>
        <v>CE183-LAB</v>
      </c>
      <c r="Z4" s="25">
        <f t="shared" si="2"/>
        <v>0</v>
      </c>
      <c r="AA4" s="26">
        <f t="shared" si="3"/>
        <v>0.05</v>
      </c>
      <c r="AB4" s="26">
        <f t="shared" si="4"/>
        <v>0</v>
      </c>
      <c r="AC4" s="25">
        <f t="shared" si="5"/>
        <v>3.75</v>
      </c>
      <c r="AD4" s="25" t="str">
        <f t="shared" si="6"/>
        <v>67001-852</v>
      </c>
      <c r="AE4" s="27"/>
      <c r="AF4" s="28"/>
      <c r="AG4" s="20" t="s">
        <v>43</v>
      </c>
      <c r="AH4" s="29">
        <v>65551</v>
      </c>
      <c r="AI4" s="30">
        <v>45341</v>
      </c>
    </row>
    <row r="5" spans="1:35" x14ac:dyDescent="0.25">
      <c r="A5" s="12">
        <v>44334</v>
      </c>
      <c r="B5" s="13" t="s">
        <v>51</v>
      </c>
      <c r="C5" s="14" t="s">
        <v>52</v>
      </c>
      <c r="D5" s="15" t="s">
        <v>53</v>
      </c>
      <c r="E5" s="16">
        <v>44342</v>
      </c>
      <c r="F5" s="17" t="s">
        <v>54</v>
      </c>
      <c r="G5" s="18" t="s">
        <v>55</v>
      </c>
      <c r="H5" s="19">
        <v>1</v>
      </c>
      <c r="I5" s="17" t="s">
        <v>56</v>
      </c>
      <c r="J5" s="20">
        <v>304.27999999999997</v>
      </c>
      <c r="K5" s="21">
        <v>915062</v>
      </c>
      <c r="L5" s="22"/>
      <c r="M5" s="22">
        <v>14.4</v>
      </c>
      <c r="N5" s="22">
        <v>6.7</v>
      </c>
      <c r="O5" s="23">
        <f t="shared" si="0"/>
        <v>96.48</v>
      </c>
      <c r="P5" s="22" t="s">
        <v>57</v>
      </c>
      <c r="Q5" s="22" t="s">
        <v>58</v>
      </c>
      <c r="R5" s="24"/>
      <c r="S5" s="24"/>
      <c r="T5" s="24"/>
      <c r="U5" s="24"/>
      <c r="V5" s="24"/>
      <c r="W5" s="25">
        <v>6</v>
      </c>
      <c r="X5" s="26">
        <v>1175</v>
      </c>
      <c r="Y5" s="25" t="str">
        <f t="shared" si="1"/>
        <v>RL1476</v>
      </c>
      <c r="Z5" s="25" t="str">
        <f t="shared" si="2"/>
        <v>8/NCR18650B</v>
      </c>
      <c r="AA5" s="26">
        <f t="shared" si="3"/>
        <v>6</v>
      </c>
      <c r="AB5" s="26">
        <f t="shared" si="4"/>
        <v>304.27999999999997</v>
      </c>
      <c r="AC5" s="25">
        <f t="shared" si="5"/>
        <v>1175</v>
      </c>
      <c r="AD5" s="25" t="str">
        <f t="shared" si="6"/>
        <v>66002-662</v>
      </c>
      <c r="AE5" s="27"/>
      <c r="AF5" s="28"/>
      <c r="AG5" s="20" t="s">
        <v>59</v>
      </c>
      <c r="AH5" s="29">
        <v>2362</v>
      </c>
      <c r="AI5" s="30">
        <v>45342</v>
      </c>
    </row>
    <row r="6" spans="1:35" x14ac:dyDescent="0.25">
      <c r="A6" s="32">
        <v>44405</v>
      </c>
      <c r="B6" s="33">
        <v>315670</v>
      </c>
      <c r="C6" s="34"/>
      <c r="D6" s="22" t="s">
        <v>60</v>
      </c>
      <c r="E6" s="35">
        <v>44414</v>
      </c>
      <c r="F6" s="25" t="s">
        <v>61</v>
      </c>
      <c r="G6" s="25"/>
      <c r="H6" s="25">
        <v>1</v>
      </c>
      <c r="I6" s="25"/>
      <c r="J6" s="22">
        <v>0</v>
      </c>
      <c r="K6" s="21">
        <v>923793</v>
      </c>
      <c r="L6" s="22"/>
      <c r="M6" s="22"/>
      <c r="N6" s="22"/>
      <c r="O6" s="23">
        <f t="shared" si="0"/>
        <v>0</v>
      </c>
      <c r="P6" s="22"/>
      <c r="Q6" s="22"/>
      <c r="R6" s="24"/>
      <c r="S6" s="24"/>
      <c r="T6" s="24"/>
      <c r="U6" s="24"/>
      <c r="V6" s="24"/>
      <c r="W6" s="25">
        <v>2</v>
      </c>
      <c r="X6" s="26">
        <v>80</v>
      </c>
      <c r="Y6" s="25" t="str">
        <f t="shared" si="1"/>
        <v>ULTRA LOW VF RECTIFIER-LAB</v>
      </c>
      <c r="Z6" s="25">
        <f t="shared" si="2"/>
        <v>0</v>
      </c>
      <c r="AA6" s="26">
        <f t="shared" si="3"/>
        <v>2</v>
      </c>
      <c r="AB6" s="26">
        <f t="shared" si="4"/>
        <v>0</v>
      </c>
      <c r="AC6" s="25">
        <f t="shared" si="5"/>
        <v>80</v>
      </c>
      <c r="AD6" s="25">
        <f t="shared" si="6"/>
        <v>0</v>
      </c>
      <c r="AE6" s="27"/>
      <c r="AF6" s="28"/>
      <c r="AG6" s="20" t="s">
        <v>13</v>
      </c>
      <c r="AH6" s="29">
        <v>64999</v>
      </c>
      <c r="AI6" s="17"/>
    </row>
    <row r="7" spans="1:35" x14ac:dyDescent="0.25">
      <c r="A7" s="12">
        <v>44425</v>
      </c>
      <c r="B7" s="13" t="s">
        <v>62</v>
      </c>
      <c r="C7" s="31" t="s">
        <v>63</v>
      </c>
      <c r="D7" s="17" t="s">
        <v>64</v>
      </c>
      <c r="E7" s="16">
        <v>44470</v>
      </c>
      <c r="F7" s="17" t="s">
        <v>65</v>
      </c>
      <c r="G7" s="18" t="s">
        <v>66</v>
      </c>
      <c r="H7" s="19">
        <v>2</v>
      </c>
      <c r="I7" s="17" t="s">
        <v>67</v>
      </c>
      <c r="J7" s="20">
        <v>99.9</v>
      </c>
      <c r="K7" s="21">
        <v>925026</v>
      </c>
      <c r="L7" s="22"/>
      <c r="M7" s="22" t="s">
        <v>68</v>
      </c>
      <c r="N7" s="22"/>
      <c r="O7" s="23" t="e">
        <f t="shared" si="0"/>
        <v>#VALUE!</v>
      </c>
      <c r="P7" s="22" t="s">
        <v>69</v>
      </c>
      <c r="Q7" s="22" t="s">
        <v>70</v>
      </c>
      <c r="R7" s="24"/>
      <c r="S7" s="24"/>
      <c r="T7" s="24"/>
      <c r="U7" s="24"/>
      <c r="V7" s="24"/>
      <c r="W7" s="25">
        <v>4</v>
      </c>
      <c r="X7" s="26">
        <v>351</v>
      </c>
      <c r="Y7" s="25" t="str">
        <f t="shared" si="1"/>
        <v>L258L</v>
      </c>
      <c r="Z7" s="25" t="str">
        <f t="shared" si="2"/>
        <v>54/L91</v>
      </c>
      <c r="AA7" s="26">
        <f t="shared" si="3"/>
        <v>4</v>
      </c>
      <c r="AB7" s="26">
        <f t="shared" si="4"/>
        <v>99.9</v>
      </c>
      <c r="AC7" s="25">
        <f t="shared" si="5"/>
        <v>351</v>
      </c>
      <c r="AD7" s="25" t="str">
        <f t="shared" si="6"/>
        <v>66000-249L</v>
      </c>
      <c r="AE7" s="27"/>
      <c r="AF7" s="28"/>
      <c r="AG7" s="20" t="s">
        <v>71</v>
      </c>
      <c r="AH7" s="29">
        <v>60570</v>
      </c>
      <c r="AI7" s="17"/>
    </row>
    <row r="8" spans="1:35" x14ac:dyDescent="0.25">
      <c r="A8" s="36">
        <v>44438</v>
      </c>
      <c r="B8" s="37" t="s">
        <v>72</v>
      </c>
      <c r="C8" s="31" t="s">
        <v>73</v>
      </c>
      <c r="D8" s="17" t="s">
        <v>74</v>
      </c>
      <c r="E8" s="16">
        <v>44432</v>
      </c>
      <c r="F8" s="17" t="s">
        <v>75</v>
      </c>
      <c r="G8" s="18" t="s">
        <v>76</v>
      </c>
      <c r="H8" s="19">
        <v>1</v>
      </c>
      <c r="I8" s="20"/>
      <c r="J8" s="20">
        <v>34.25</v>
      </c>
      <c r="K8" s="21">
        <v>924473</v>
      </c>
      <c r="L8" s="22"/>
      <c r="M8" s="22"/>
      <c r="N8" s="22"/>
      <c r="O8" s="23">
        <f t="shared" si="0"/>
        <v>0</v>
      </c>
      <c r="P8" s="22"/>
      <c r="Q8" s="22"/>
      <c r="R8" s="24"/>
      <c r="S8" s="24"/>
      <c r="T8" s="24"/>
      <c r="U8" s="24"/>
      <c r="V8" s="24"/>
      <c r="W8" s="25">
        <v>0.5</v>
      </c>
      <c r="X8" s="26">
        <v>90</v>
      </c>
      <c r="Y8" s="25" t="str">
        <f t="shared" si="1"/>
        <v>CH551</v>
      </c>
      <c r="Z8" s="25" t="str">
        <f t="shared" si="2"/>
        <v>TSB-002</v>
      </c>
      <c r="AA8" s="26">
        <f t="shared" si="3"/>
        <v>0.5</v>
      </c>
      <c r="AB8" s="26">
        <f t="shared" si="4"/>
        <v>34.25</v>
      </c>
      <c r="AC8" s="25">
        <f t="shared" si="5"/>
        <v>90</v>
      </c>
      <c r="AD8" s="25" t="str">
        <f t="shared" si="6"/>
        <v>66002-730</v>
      </c>
      <c r="AE8" s="27"/>
      <c r="AF8" s="28"/>
      <c r="AG8" s="20" t="s">
        <v>59</v>
      </c>
      <c r="AH8" s="29">
        <v>89093</v>
      </c>
      <c r="AI8" s="30">
        <v>45104</v>
      </c>
    </row>
    <row r="9" spans="1:35" x14ac:dyDescent="0.25">
      <c r="A9" s="38">
        <v>44489</v>
      </c>
      <c r="B9" s="39" t="s">
        <v>77</v>
      </c>
      <c r="C9" s="40" t="s">
        <v>78</v>
      </c>
      <c r="D9" s="41" t="s">
        <v>79</v>
      </c>
      <c r="E9" s="42">
        <v>44499</v>
      </c>
      <c r="F9" s="41" t="s">
        <v>80</v>
      </c>
      <c r="G9" s="43" t="s">
        <v>81</v>
      </c>
      <c r="H9" s="44">
        <v>96</v>
      </c>
      <c r="I9" s="41" t="s">
        <v>82</v>
      </c>
      <c r="J9" s="45">
        <v>10.198</v>
      </c>
      <c r="K9" s="46">
        <v>932901</v>
      </c>
      <c r="L9" s="47"/>
      <c r="M9" s="47">
        <v>3.6</v>
      </c>
      <c r="N9" s="47">
        <v>2.6</v>
      </c>
      <c r="O9" s="48">
        <f t="shared" si="0"/>
        <v>9.3600000000000012</v>
      </c>
      <c r="P9" s="47" t="s">
        <v>83</v>
      </c>
      <c r="Q9" s="47"/>
      <c r="R9" s="49"/>
      <c r="S9" s="49"/>
      <c r="T9" s="49"/>
      <c r="U9" s="49"/>
      <c r="V9" s="49"/>
      <c r="W9" s="50">
        <v>0.22</v>
      </c>
      <c r="X9" s="51">
        <v>39</v>
      </c>
      <c r="Y9" s="50" t="str">
        <f t="shared" si="1"/>
        <v>L238</v>
      </c>
      <c r="Z9" s="50" t="str">
        <f t="shared" si="2"/>
        <v>2/LS14500</v>
      </c>
      <c r="AA9" s="51">
        <f t="shared" si="3"/>
        <v>0.22</v>
      </c>
      <c r="AB9" s="51">
        <f t="shared" si="4"/>
        <v>10.198</v>
      </c>
      <c r="AC9" s="50">
        <f t="shared" si="5"/>
        <v>39</v>
      </c>
      <c r="AD9" s="50" t="str">
        <f t="shared" si="6"/>
        <v>66000-231</v>
      </c>
      <c r="AE9" s="52"/>
      <c r="AF9" s="53"/>
      <c r="AG9" s="45" t="s">
        <v>43</v>
      </c>
      <c r="AH9" s="54">
        <v>65616</v>
      </c>
      <c r="AI9" s="55">
        <v>45187</v>
      </c>
    </row>
    <row r="10" spans="1:35" x14ac:dyDescent="0.25">
      <c r="A10" s="56">
        <v>44490</v>
      </c>
      <c r="B10" s="57" t="s">
        <v>84</v>
      </c>
      <c r="C10" s="31" t="s">
        <v>85</v>
      </c>
      <c r="D10" s="17" t="s">
        <v>86</v>
      </c>
      <c r="E10" s="16">
        <v>44589</v>
      </c>
      <c r="F10" s="17" t="s">
        <v>80</v>
      </c>
      <c r="G10" s="18" t="s">
        <v>87</v>
      </c>
      <c r="H10" s="19">
        <v>50</v>
      </c>
      <c r="I10" s="17" t="s">
        <v>88</v>
      </c>
      <c r="J10" s="20">
        <v>19.736000000000001</v>
      </c>
      <c r="K10" s="58">
        <v>933612</v>
      </c>
      <c r="L10" s="59"/>
      <c r="M10" s="59">
        <v>7.2</v>
      </c>
      <c r="N10" s="59">
        <v>4.5</v>
      </c>
      <c r="O10" s="60">
        <f t="shared" si="0"/>
        <v>32.4</v>
      </c>
      <c r="P10" s="59" t="s">
        <v>89</v>
      </c>
      <c r="Q10" s="59" t="s">
        <v>90</v>
      </c>
      <c r="R10" s="61"/>
      <c r="S10" s="61"/>
      <c r="T10" s="61"/>
      <c r="U10" s="61"/>
      <c r="V10" s="61"/>
      <c r="W10" s="62">
        <v>0.47</v>
      </c>
      <c r="X10" s="63">
        <v>45</v>
      </c>
      <c r="Y10" s="62" t="str">
        <f t="shared" si="1"/>
        <v>N404</v>
      </c>
      <c r="Z10" s="62" t="str">
        <f t="shared" si="2"/>
        <v>6/MH-C4500HT</v>
      </c>
      <c r="AA10" s="63">
        <f t="shared" si="3"/>
        <v>0.47</v>
      </c>
      <c r="AB10" s="63">
        <f t="shared" si="4"/>
        <v>19.736000000000001</v>
      </c>
      <c r="AC10" s="62">
        <f t="shared" si="5"/>
        <v>45</v>
      </c>
      <c r="AD10" s="62" t="str">
        <f t="shared" si="6"/>
        <v>66000-382</v>
      </c>
      <c r="AE10" s="64"/>
      <c r="AF10" s="65"/>
      <c r="AG10" s="20" t="s">
        <v>43</v>
      </c>
      <c r="AH10" s="29">
        <v>65616</v>
      </c>
      <c r="AI10" s="30">
        <v>45236</v>
      </c>
    </row>
    <row r="11" spans="1:35" x14ac:dyDescent="0.25">
      <c r="A11" s="66">
        <v>44516</v>
      </c>
      <c r="B11" s="13" t="s">
        <v>91</v>
      </c>
      <c r="C11" s="31" t="s">
        <v>92</v>
      </c>
      <c r="D11" s="17" t="s">
        <v>93</v>
      </c>
      <c r="E11" s="16">
        <v>44539</v>
      </c>
      <c r="F11" s="17" t="s">
        <v>94</v>
      </c>
      <c r="G11" s="18" t="s">
        <v>95</v>
      </c>
      <c r="H11" s="19">
        <v>9</v>
      </c>
      <c r="I11" s="17" t="s">
        <v>96</v>
      </c>
      <c r="J11" s="20">
        <v>16.792000000000002</v>
      </c>
      <c r="K11" s="58">
        <v>936219</v>
      </c>
      <c r="L11" s="59"/>
      <c r="M11" s="59">
        <v>10.8</v>
      </c>
      <c r="N11" s="59">
        <v>4.9000000000000004</v>
      </c>
      <c r="O11" s="60">
        <f t="shared" si="0"/>
        <v>52.920000000000009</v>
      </c>
      <c r="P11" s="59" t="s">
        <v>97</v>
      </c>
      <c r="Q11" s="59" t="s">
        <v>98</v>
      </c>
      <c r="R11" s="61"/>
      <c r="S11" s="61"/>
      <c r="T11" s="61"/>
      <c r="U11" s="61"/>
      <c r="V11" s="61"/>
      <c r="W11" s="62">
        <v>1.5</v>
      </c>
      <c r="X11" s="63">
        <v>250</v>
      </c>
      <c r="Y11" s="62" t="str">
        <f t="shared" si="1"/>
        <v>DH54B</v>
      </c>
      <c r="Z11" s="62" t="str">
        <f t="shared" si="2"/>
        <v>3/INR21700-50E</v>
      </c>
      <c r="AA11" s="63">
        <f t="shared" si="3"/>
        <v>1.5</v>
      </c>
      <c r="AB11" s="63">
        <f t="shared" si="4"/>
        <v>16.792000000000002</v>
      </c>
      <c r="AC11" s="62">
        <f t="shared" si="5"/>
        <v>250</v>
      </c>
      <c r="AD11" s="62" t="str">
        <f t="shared" si="6"/>
        <v>66002-623B</v>
      </c>
      <c r="AE11" s="64"/>
      <c r="AF11" s="65"/>
      <c r="AG11" s="20" t="s">
        <v>59</v>
      </c>
      <c r="AH11" s="29">
        <v>2169</v>
      </c>
      <c r="AI11" s="30">
        <v>45251</v>
      </c>
    </row>
    <row r="12" spans="1:35" x14ac:dyDescent="0.25">
      <c r="A12" s="67">
        <v>44517</v>
      </c>
      <c r="B12" s="39" t="s">
        <v>99</v>
      </c>
      <c r="C12" s="31" t="s">
        <v>100</v>
      </c>
      <c r="D12" s="17" t="s">
        <v>101</v>
      </c>
      <c r="E12" s="16">
        <v>44526</v>
      </c>
      <c r="F12" s="17" t="s">
        <v>102</v>
      </c>
      <c r="G12" s="18" t="s">
        <v>103</v>
      </c>
      <c r="H12" s="19">
        <v>1</v>
      </c>
      <c r="I12" s="20"/>
      <c r="J12" s="20">
        <v>8.33</v>
      </c>
      <c r="K12" s="58">
        <v>936741</v>
      </c>
      <c r="L12" s="59"/>
      <c r="M12" s="59"/>
      <c r="N12" s="59"/>
      <c r="O12" s="60">
        <f t="shared" si="0"/>
        <v>0</v>
      </c>
      <c r="P12" s="59"/>
      <c r="Q12" s="59"/>
      <c r="R12" s="61"/>
      <c r="S12" s="61"/>
      <c r="T12" s="61"/>
      <c r="U12" s="61"/>
      <c r="V12" s="61"/>
      <c r="W12" s="62">
        <v>3</v>
      </c>
      <c r="X12" s="63">
        <v>370</v>
      </c>
      <c r="Y12" s="62" t="str">
        <f t="shared" si="1"/>
        <v>CH565</v>
      </c>
      <c r="Z12" s="62" t="str">
        <f t="shared" si="2"/>
        <v xml:space="preserve"> 1/NC500U</v>
      </c>
      <c r="AA12" s="63">
        <f t="shared" si="3"/>
        <v>3</v>
      </c>
      <c r="AB12" s="63">
        <f t="shared" si="4"/>
        <v>8.33</v>
      </c>
      <c r="AC12" s="62">
        <f t="shared" si="5"/>
        <v>370</v>
      </c>
      <c r="AD12" s="62" t="str">
        <f t="shared" si="6"/>
        <v>66002-864</v>
      </c>
      <c r="AE12" s="64"/>
      <c r="AF12" s="65"/>
      <c r="AG12" s="20" t="s">
        <v>71</v>
      </c>
      <c r="AH12" s="29">
        <v>24232</v>
      </c>
      <c r="AI12" s="30">
        <v>45261</v>
      </c>
    </row>
    <row r="13" spans="1:35" x14ac:dyDescent="0.25">
      <c r="A13" s="68">
        <v>44543</v>
      </c>
      <c r="B13" s="69" t="s">
        <v>104</v>
      </c>
      <c r="C13" s="31"/>
      <c r="D13" s="17" t="s">
        <v>105</v>
      </c>
      <c r="E13" s="16">
        <v>44536</v>
      </c>
      <c r="F13" s="17" t="s">
        <v>106</v>
      </c>
      <c r="G13" s="18" t="s">
        <v>107</v>
      </c>
      <c r="H13" s="19">
        <v>40</v>
      </c>
      <c r="I13" s="20"/>
      <c r="J13" s="20">
        <v>0.26750000000000002</v>
      </c>
      <c r="K13" s="58">
        <v>938880</v>
      </c>
      <c r="L13" s="59"/>
      <c r="M13" s="59"/>
      <c r="N13" s="59"/>
      <c r="O13" s="60">
        <f t="shared" si="0"/>
        <v>0</v>
      </c>
      <c r="P13" s="59"/>
      <c r="Q13" s="59"/>
      <c r="R13" s="61"/>
      <c r="S13" s="61"/>
      <c r="T13" s="61"/>
      <c r="U13" s="61"/>
      <c r="V13" s="61"/>
      <c r="W13" s="62">
        <v>0.16</v>
      </c>
      <c r="X13" s="63">
        <v>1.77</v>
      </c>
      <c r="Y13" s="62" t="str">
        <f t="shared" si="1"/>
        <v>LAB</v>
      </c>
      <c r="Z13" s="62">
        <f t="shared" si="2"/>
        <v>0</v>
      </c>
      <c r="AA13" s="63">
        <f t="shared" si="3"/>
        <v>0.16</v>
      </c>
      <c r="AB13" s="63">
        <f t="shared" si="4"/>
        <v>0.26750000000000002</v>
      </c>
      <c r="AC13" s="62">
        <f t="shared" si="5"/>
        <v>1.77</v>
      </c>
      <c r="AD13" s="62" t="str">
        <f t="shared" si="6"/>
        <v>20008-803WESTS</v>
      </c>
      <c r="AE13" s="64"/>
      <c r="AF13" s="65"/>
      <c r="AG13" s="20" t="s">
        <v>108</v>
      </c>
      <c r="AH13" s="29">
        <v>23857</v>
      </c>
      <c r="AI13" s="30">
        <v>45261</v>
      </c>
    </row>
    <row r="14" spans="1:35" x14ac:dyDescent="0.25">
      <c r="A14" s="56">
        <v>44581</v>
      </c>
      <c r="B14" s="57" t="s">
        <v>109</v>
      </c>
      <c r="C14" s="31" t="s">
        <v>110</v>
      </c>
      <c r="D14" s="17" t="s">
        <v>111</v>
      </c>
      <c r="E14" s="16">
        <v>44588</v>
      </c>
      <c r="F14" s="17" t="s">
        <v>112</v>
      </c>
      <c r="G14" s="18" t="s">
        <v>113</v>
      </c>
      <c r="H14" s="19">
        <v>30</v>
      </c>
      <c r="I14" s="17" t="s">
        <v>114</v>
      </c>
      <c r="J14" s="20">
        <v>5.62</v>
      </c>
      <c r="K14" s="58">
        <v>942864</v>
      </c>
      <c r="L14" s="59"/>
      <c r="M14" s="59">
        <v>3.6</v>
      </c>
      <c r="N14" s="59">
        <v>20</v>
      </c>
      <c r="O14" s="60">
        <f t="shared" si="0"/>
        <v>72</v>
      </c>
      <c r="P14" s="59" t="s">
        <v>83</v>
      </c>
      <c r="Q14" s="59" t="s">
        <v>42</v>
      </c>
      <c r="R14" s="61"/>
      <c r="S14" s="61"/>
      <c r="T14" s="61"/>
      <c r="U14" s="61"/>
      <c r="V14" s="61"/>
      <c r="W14" s="62">
        <v>0.5</v>
      </c>
      <c r="X14" s="63">
        <v>27.14</v>
      </c>
      <c r="Y14" s="62" t="str">
        <f t="shared" si="1"/>
        <v>L810</v>
      </c>
      <c r="Z14" s="62" t="str">
        <f t="shared" si="2"/>
        <v>ER34615H</v>
      </c>
      <c r="AA14" s="63">
        <f t="shared" si="3"/>
        <v>0.5</v>
      </c>
      <c r="AB14" s="63">
        <f t="shared" si="4"/>
        <v>5.62</v>
      </c>
      <c r="AC14" s="62">
        <f t="shared" si="5"/>
        <v>27.14</v>
      </c>
      <c r="AD14" s="62" t="str">
        <f t="shared" si="6"/>
        <v>60000-013FAN</v>
      </c>
      <c r="AE14" s="64"/>
      <c r="AF14" s="65"/>
      <c r="AG14" s="20" t="s">
        <v>108</v>
      </c>
      <c r="AH14" s="29">
        <v>23948</v>
      </c>
      <c r="AI14" s="30">
        <v>45300</v>
      </c>
    </row>
    <row r="15" spans="1:35" x14ac:dyDescent="0.25">
      <c r="A15" s="67">
        <v>44594</v>
      </c>
      <c r="B15" s="39">
        <v>320026</v>
      </c>
      <c r="C15" s="31"/>
      <c r="D15" s="17" t="s">
        <v>115</v>
      </c>
      <c r="E15" s="16">
        <v>44603</v>
      </c>
      <c r="F15" s="17" t="s">
        <v>116</v>
      </c>
      <c r="G15" s="18"/>
      <c r="H15" s="19">
        <v>1</v>
      </c>
      <c r="I15" s="17"/>
      <c r="J15" s="20">
        <v>0</v>
      </c>
      <c r="K15" s="58">
        <v>943874</v>
      </c>
      <c r="L15" s="59"/>
      <c r="M15" s="59"/>
      <c r="N15" s="59"/>
      <c r="O15" s="60">
        <f t="shared" si="0"/>
        <v>0</v>
      </c>
      <c r="P15" s="59"/>
      <c r="Q15" s="59"/>
      <c r="R15" s="61"/>
      <c r="S15" s="61"/>
      <c r="T15" s="61"/>
      <c r="U15" s="61"/>
      <c r="V15" s="61"/>
      <c r="W15" s="62">
        <v>1</v>
      </c>
      <c r="X15" s="63">
        <v>62.81</v>
      </c>
      <c r="Y15" s="62" t="str">
        <f t="shared" si="1"/>
        <v>CONN-LAB</v>
      </c>
      <c r="Z15" s="62">
        <f t="shared" si="2"/>
        <v>0</v>
      </c>
      <c r="AA15" s="63">
        <f t="shared" si="3"/>
        <v>1</v>
      </c>
      <c r="AB15" s="63">
        <f t="shared" si="4"/>
        <v>0</v>
      </c>
      <c r="AC15" s="62">
        <f t="shared" si="5"/>
        <v>62.81</v>
      </c>
      <c r="AD15" s="62">
        <f t="shared" si="6"/>
        <v>0</v>
      </c>
      <c r="AE15" s="64"/>
      <c r="AF15" s="65"/>
      <c r="AG15" s="20" t="s">
        <v>59</v>
      </c>
      <c r="AH15" s="29">
        <v>2590</v>
      </c>
      <c r="AI15" s="30">
        <v>45301</v>
      </c>
    </row>
    <row r="16" spans="1:35" x14ac:dyDescent="0.25">
      <c r="A16" s="67">
        <v>44601</v>
      </c>
      <c r="B16" s="39" t="s">
        <v>117</v>
      </c>
      <c r="C16" s="40"/>
      <c r="D16" s="41" t="s">
        <v>118</v>
      </c>
      <c r="E16" s="42">
        <v>44600</v>
      </c>
      <c r="F16" s="41" t="s">
        <v>119</v>
      </c>
      <c r="G16" s="43" t="s">
        <v>120</v>
      </c>
      <c r="H16" s="44">
        <v>4</v>
      </c>
      <c r="I16">
        <v>0</v>
      </c>
      <c r="J16" s="45">
        <v>20.69</v>
      </c>
      <c r="K16" s="58"/>
      <c r="L16" s="59"/>
      <c r="M16" s="59"/>
      <c r="N16" s="59"/>
      <c r="O16" s="60">
        <f t="shared" si="0"/>
        <v>0</v>
      </c>
      <c r="P16" s="59"/>
      <c r="Q16" s="59"/>
      <c r="R16" s="61"/>
      <c r="S16" s="61"/>
      <c r="T16" s="61"/>
      <c r="U16" s="61"/>
      <c r="V16" s="61"/>
      <c r="W16" s="62">
        <v>0.5</v>
      </c>
      <c r="X16" s="63">
        <v>0</v>
      </c>
      <c r="Y16" s="62" t="str">
        <f t="shared" si="1"/>
        <v>CA192</v>
      </c>
      <c r="Z16" s="62">
        <f t="shared" si="2"/>
        <v>0</v>
      </c>
      <c r="AA16" s="63">
        <f t="shared" si="3"/>
        <v>0.5</v>
      </c>
      <c r="AB16" s="63">
        <v>0</v>
      </c>
      <c r="AC16" s="62">
        <f t="shared" si="5"/>
        <v>0</v>
      </c>
      <c r="AD16" s="62" t="str">
        <f t="shared" si="6"/>
        <v>66002-799</v>
      </c>
      <c r="AE16" s="64"/>
      <c r="AF16" s="65"/>
      <c r="AG16" s="20" t="s">
        <v>119</v>
      </c>
      <c r="AH16" s="29"/>
      <c r="AI16" s="70">
        <v>45314</v>
      </c>
    </row>
    <row r="17" spans="1:35" x14ac:dyDescent="0.25">
      <c r="A17" s="67">
        <v>44601</v>
      </c>
      <c r="B17" s="39" t="s">
        <v>121</v>
      </c>
      <c r="C17" s="31"/>
      <c r="D17" s="17" t="s">
        <v>122</v>
      </c>
      <c r="E17" s="16">
        <v>44600</v>
      </c>
      <c r="F17" s="17" t="s">
        <v>119</v>
      </c>
      <c r="G17" s="18" t="s">
        <v>123</v>
      </c>
      <c r="H17" s="19">
        <v>4</v>
      </c>
      <c r="I17" s="20">
        <v>0</v>
      </c>
      <c r="J17" s="20">
        <v>37.89</v>
      </c>
      <c r="K17" s="58"/>
      <c r="L17" s="59"/>
      <c r="M17" s="59"/>
      <c r="N17" s="59"/>
      <c r="O17" s="60">
        <f t="shared" si="0"/>
        <v>0</v>
      </c>
      <c r="P17" s="59"/>
      <c r="Q17" s="59"/>
      <c r="R17" s="61"/>
      <c r="S17" s="61"/>
      <c r="T17" s="61"/>
      <c r="U17" s="61"/>
      <c r="V17" s="61"/>
      <c r="W17" s="62">
        <v>0.5</v>
      </c>
      <c r="X17" s="63">
        <v>0</v>
      </c>
      <c r="Y17" s="62" t="str">
        <f t="shared" si="1"/>
        <v>CA193</v>
      </c>
      <c r="Z17" s="62">
        <f t="shared" si="2"/>
        <v>0</v>
      </c>
      <c r="AA17" s="63">
        <f t="shared" si="3"/>
        <v>0.5</v>
      </c>
      <c r="AB17" s="63">
        <f t="shared" ref="AB17:AB80" si="7">J17</f>
        <v>37.89</v>
      </c>
      <c r="AC17" s="62">
        <f t="shared" si="5"/>
        <v>0</v>
      </c>
      <c r="AD17" s="62" t="str">
        <f t="shared" si="6"/>
        <v>66002-800</v>
      </c>
      <c r="AE17" s="64"/>
      <c r="AF17" s="65"/>
      <c r="AG17" s="20" t="s">
        <v>119</v>
      </c>
      <c r="AH17" s="29"/>
      <c r="AI17" s="30">
        <v>45334</v>
      </c>
    </row>
    <row r="18" spans="1:35" x14ac:dyDescent="0.25">
      <c r="A18" s="71">
        <v>44613</v>
      </c>
      <c r="B18" s="37" t="s">
        <v>124</v>
      </c>
      <c r="C18" s="31" t="s">
        <v>125</v>
      </c>
      <c r="D18" s="17" t="s">
        <v>126</v>
      </c>
      <c r="E18" s="16">
        <v>44888</v>
      </c>
      <c r="F18" s="17" t="s">
        <v>127</v>
      </c>
      <c r="G18" s="18" t="s">
        <v>128</v>
      </c>
      <c r="H18" s="19">
        <v>3</v>
      </c>
      <c r="I18" s="17" t="s">
        <v>129</v>
      </c>
      <c r="J18" s="20">
        <v>37.17</v>
      </c>
      <c r="K18" s="58">
        <v>946341</v>
      </c>
      <c r="L18" s="59"/>
      <c r="M18" s="59">
        <v>46.8</v>
      </c>
      <c r="N18" s="59">
        <v>72</v>
      </c>
      <c r="O18" s="60">
        <f t="shared" si="0"/>
        <v>3369.6</v>
      </c>
      <c r="P18" s="59" t="s">
        <v>130</v>
      </c>
      <c r="Q18" s="59" t="s">
        <v>131</v>
      </c>
      <c r="R18" s="61"/>
      <c r="S18" s="61"/>
      <c r="T18" s="61"/>
      <c r="U18" s="61"/>
      <c r="V18" s="61"/>
      <c r="W18" s="62">
        <v>3.48</v>
      </c>
      <c r="X18" s="63">
        <v>15600</v>
      </c>
      <c r="Y18" s="62" t="str">
        <f t="shared" si="1"/>
        <v>N380</v>
      </c>
      <c r="Z18" s="62" t="str">
        <f t="shared" si="2"/>
        <v>78/KFM72P</v>
      </c>
      <c r="AA18" s="63">
        <f t="shared" si="3"/>
        <v>3.48</v>
      </c>
      <c r="AB18" s="63">
        <f t="shared" si="7"/>
        <v>37.17</v>
      </c>
      <c r="AC18" s="62">
        <f t="shared" si="5"/>
        <v>15600</v>
      </c>
      <c r="AD18" s="62" t="str">
        <f t="shared" si="6"/>
        <v>66000-360</v>
      </c>
      <c r="AE18" s="64"/>
      <c r="AF18" s="65"/>
      <c r="AG18" s="20" t="s">
        <v>43</v>
      </c>
      <c r="AH18" s="29" t="s">
        <v>132</v>
      </c>
      <c r="AI18" s="30">
        <v>45337</v>
      </c>
    </row>
    <row r="19" spans="1:35" x14ac:dyDescent="0.25">
      <c r="A19" s="71">
        <v>44662</v>
      </c>
      <c r="B19" s="37" t="s">
        <v>133</v>
      </c>
      <c r="C19" s="31" t="s">
        <v>134</v>
      </c>
      <c r="D19" s="17" t="s">
        <v>135</v>
      </c>
      <c r="E19" s="16">
        <v>44659</v>
      </c>
      <c r="F19" s="17" t="s">
        <v>136</v>
      </c>
      <c r="G19" s="18" t="s">
        <v>137</v>
      </c>
      <c r="H19" s="19">
        <v>200</v>
      </c>
      <c r="I19" s="17" t="s">
        <v>138</v>
      </c>
      <c r="J19" s="20">
        <v>152.77000000000001</v>
      </c>
      <c r="K19" s="58">
        <v>952266</v>
      </c>
      <c r="L19" s="59"/>
      <c r="M19" s="59">
        <v>14.8</v>
      </c>
      <c r="N19" s="59">
        <v>9.6</v>
      </c>
      <c r="O19" s="60">
        <f t="shared" si="0"/>
        <v>142.08000000000001</v>
      </c>
      <c r="P19" s="59" t="s">
        <v>139</v>
      </c>
      <c r="Q19" s="59" t="s">
        <v>140</v>
      </c>
      <c r="R19" s="61"/>
      <c r="S19" s="61"/>
      <c r="T19" s="61"/>
      <c r="U19" s="61"/>
      <c r="V19" s="61"/>
      <c r="W19" s="62">
        <v>0.83</v>
      </c>
      <c r="X19" s="63">
        <v>375</v>
      </c>
      <c r="Y19" s="62" t="str">
        <f t="shared" si="1"/>
        <v>RL278</v>
      </c>
      <c r="Z19" s="62" t="str">
        <f t="shared" si="2"/>
        <v>16/UR18650F-2300</v>
      </c>
      <c r="AA19" s="63">
        <f t="shared" si="3"/>
        <v>0.83</v>
      </c>
      <c r="AB19" s="63">
        <f t="shared" si="7"/>
        <v>152.77000000000001</v>
      </c>
      <c r="AC19" s="62">
        <f t="shared" si="5"/>
        <v>375</v>
      </c>
      <c r="AD19" s="62" t="str">
        <f t="shared" si="6"/>
        <v>66000-508</v>
      </c>
      <c r="AE19" s="64"/>
      <c r="AF19" s="65"/>
      <c r="AG19" s="20" t="s">
        <v>43</v>
      </c>
      <c r="AH19" s="29">
        <v>24081</v>
      </c>
      <c r="AI19" s="30">
        <v>45341</v>
      </c>
    </row>
    <row r="20" spans="1:35" x14ac:dyDescent="0.25">
      <c r="A20" s="72">
        <v>44715</v>
      </c>
      <c r="B20" s="73" t="s">
        <v>141</v>
      </c>
      <c r="C20" s="31" t="s">
        <v>142</v>
      </c>
      <c r="D20" s="17" t="s">
        <v>143</v>
      </c>
      <c r="E20" s="16">
        <v>44735</v>
      </c>
      <c r="F20" s="17" t="s">
        <v>80</v>
      </c>
      <c r="G20" s="18" t="s">
        <v>144</v>
      </c>
      <c r="H20" s="19">
        <v>15</v>
      </c>
      <c r="I20" s="17" t="s">
        <v>145</v>
      </c>
      <c r="J20" s="20">
        <v>3.59</v>
      </c>
      <c r="K20" s="58">
        <v>958650</v>
      </c>
      <c r="L20" s="59"/>
      <c r="M20" s="59">
        <v>3.7</v>
      </c>
      <c r="N20" s="59">
        <v>7.4999999999999997E-2</v>
      </c>
      <c r="O20" s="60">
        <f t="shared" si="0"/>
        <v>0.27750000000000002</v>
      </c>
      <c r="P20" s="59" t="s">
        <v>139</v>
      </c>
      <c r="Q20" s="59" t="s">
        <v>42</v>
      </c>
      <c r="R20" s="61"/>
      <c r="S20" s="61"/>
      <c r="T20" s="61"/>
      <c r="U20" s="61"/>
      <c r="V20" s="61"/>
      <c r="W20" s="62">
        <v>0.32</v>
      </c>
      <c r="X20" s="63">
        <v>19.28</v>
      </c>
      <c r="Y20" s="62" t="str">
        <f t="shared" si="1"/>
        <v>RL1569</v>
      </c>
      <c r="Z20" s="62" t="str">
        <f t="shared" si="2"/>
        <v>1/PD2032</v>
      </c>
      <c r="AA20" s="63">
        <f t="shared" si="3"/>
        <v>0.32</v>
      </c>
      <c r="AB20" s="63">
        <f t="shared" si="7"/>
        <v>3.59</v>
      </c>
      <c r="AC20" s="62">
        <f t="shared" si="5"/>
        <v>19.28</v>
      </c>
      <c r="AD20" s="62" t="str">
        <f t="shared" si="6"/>
        <v>66003-025</v>
      </c>
      <c r="AE20" s="64"/>
      <c r="AF20" s="65"/>
      <c r="AG20" s="20" t="s">
        <v>59</v>
      </c>
      <c r="AH20" s="29">
        <v>65616</v>
      </c>
      <c r="AI20" s="30">
        <v>45271</v>
      </c>
    </row>
    <row r="21" spans="1:35" x14ac:dyDescent="0.25">
      <c r="A21" s="66">
        <v>44726</v>
      </c>
      <c r="B21" s="13">
        <v>323752</v>
      </c>
      <c r="C21" s="31"/>
      <c r="D21" s="17" t="s">
        <v>146</v>
      </c>
      <c r="E21" s="16">
        <v>44726</v>
      </c>
      <c r="F21" s="17" t="s">
        <v>147</v>
      </c>
      <c r="G21" s="18"/>
      <c r="H21" s="19">
        <v>1</v>
      </c>
      <c r="I21" s="17"/>
      <c r="J21" s="20">
        <v>0</v>
      </c>
      <c r="K21" s="58">
        <v>960028</v>
      </c>
      <c r="L21" s="59"/>
      <c r="M21" s="59"/>
      <c r="N21" s="59"/>
      <c r="O21" s="60">
        <f t="shared" si="0"/>
        <v>0</v>
      </c>
      <c r="P21" s="59"/>
      <c r="Q21" s="59"/>
      <c r="R21" s="61"/>
      <c r="S21" s="61"/>
      <c r="T21" s="61"/>
      <c r="U21" s="61"/>
      <c r="V21" s="61"/>
      <c r="W21" s="62">
        <v>2</v>
      </c>
      <c r="X21" s="63">
        <v>100</v>
      </c>
      <c r="Y21" s="62" t="str">
        <f t="shared" si="1"/>
        <v>LAB-CABLE</v>
      </c>
      <c r="Z21" s="62">
        <f t="shared" si="2"/>
        <v>0</v>
      </c>
      <c r="AA21" s="63">
        <f t="shared" si="3"/>
        <v>2</v>
      </c>
      <c r="AB21" s="63">
        <f t="shared" si="7"/>
        <v>0</v>
      </c>
      <c r="AC21" s="62">
        <f t="shared" si="5"/>
        <v>100</v>
      </c>
      <c r="AD21" s="62">
        <f t="shared" si="6"/>
        <v>0</v>
      </c>
      <c r="AE21" s="64"/>
      <c r="AF21" s="65"/>
      <c r="AG21" s="20" t="s">
        <v>71</v>
      </c>
      <c r="AH21" s="29">
        <v>1160</v>
      </c>
      <c r="AI21" s="30">
        <v>45271</v>
      </c>
    </row>
    <row r="22" spans="1:35" x14ac:dyDescent="0.25">
      <c r="A22" s="66">
        <v>44733</v>
      </c>
      <c r="B22" s="13" t="s">
        <v>148</v>
      </c>
      <c r="C22" s="31" t="s">
        <v>149</v>
      </c>
      <c r="D22" s="17" t="s">
        <v>150</v>
      </c>
      <c r="E22" s="16">
        <v>44747</v>
      </c>
      <c r="F22" s="17" t="s">
        <v>151</v>
      </c>
      <c r="G22" s="18" t="s">
        <v>152</v>
      </c>
      <c r="H22" s="19">
        <v>2</v>
      </c>
      <c r="I22" s="17" t="s">
        <v>153</v>
      </c>
      <c r="J22" s="20">
        <v>34.4</v>
      </c>
      <c r="K22" s="58">
        <v>960304</v>
      </c>
      <c r="L22" s="59"/>
      <c r="M22" s="59">
        <v>12</v>
      </c>
      <c r="N22" s="59">
        <v>4</v>
      </c>
      <c r="O22" s="60">
        <f t="shared" si="0"/>
        <v>48</v>
      </c>
      <c r="P22" s="59" t="s">
        <v>154</v>
      </c>
      <c r="Q22" s="59" t="s">
        <v>155</v>
      </c>
      <c r="R22" s="61"/>
      <c r="S22" s="61"/>
      <c r="T22" s="61"/>
      <c r="U22" s="61"/>
      <c r="V22" s="61"/>
      <c r="W22" s="62">
        <v>2</v>
      </c>
      <c r="X22" s="63">
        <v>130</v>
      </c>
      <c r="Y22" s="62" t="str">
        <f t="shared" si="1"/>
        <v>N1759</v>
      </c>
      <c r="Z22" s="62" t="str">
        <f t="shared" si="2"/>
        <v>10/IMX-4000C</v>
      </c>
      <c r="AA22" s="63">
        <f t="shared" si="3"/>
        <v>2</v>
      </c>
      <c r="AB22" s="63">
        <f t="shared" si="7"/>
        <v>34.4</v>
      </c>
      <c r="AC22" s="62">
        <f t="shared" si="5"/>
        <v>130</v>
      </c>
      <c r="AD22" s="62" t="str">
        <f t="shared" si="6"/>
        <v>66001-515</v>
      </c>
      <c r="AE22" s="64"/>
      <c r="AF22" s="65"/>
      <c r="AG22" s="20" t="s">
        <v>59</v>
      </c>
      <c r="AH22" s="29">
        <v>65517</v>
      </c>
      <c r="AI22" s="17"/>
    </row>
    <row r="23" spans="1:35" x14ac:dyDescent="0.25">
      <c r="A23" s="56">
        <v>44756</v>
      </c>
      <c r="B23" s="57" t="s">
        <v>156</v>
      </c>
      <c r="C23" s="31" t="s">
        <v>157</v>
      </c>
      <c r="D23" s="17" t="s">
        <v>158</v>
      </c>
      <c r="E23" s="16">
        <v>44755</v>
      </c>
      <c r="F23" s="17" t="s">
        <v>159</v>
      </c>
      <c r="G23" s="18" t="s">
        <v>160</v>
      </c>
      <c r="H23" s="19">
        <v>65</v>
      </c>
      <c r="I23" s="17" t="s">
        <v>161</v>
      </c>
      <c r="J23" s="20">
        <v>174.8</v>
      </c>
      <c r="K23" s="58">
        <v>963857</v>
      </c>
      <c r="L23" s="59"/>
      <c r="M23" s="59"/>
      <c r="N23" s="59"/>
      <c r="O23" s="60">
        <f t="shared" si="0"/>
        <v>0</v>
      </c>
      <c r="P23" s="59"/>
      <c r="Q23" s="59"/>
      <c r="R23" s="61"/>
      <c r="S23" s="61"/>
      <c r="T23" s="61"/>
      <c r="U23" s="61"/>
      <c r="V23" s="61"/>
      <c r="W23" s="62">
        <v>1</v>
      </c>
      <c r="X23" s="63">
        <v>204.18</v>
      </c>
      <c r="Y23" s="62" t="str">
        <f t="shared" si="1"/>
        <v>CH599</v>
      </c>
      <c r="Z23" s="62" t="str">
        <f t="shared" si="2"/>
        <v>VECIP65-24/13</v>
      </c>
      <c r="AA23" s="63">
        <f t="shared" si="3"/>
        <v>1</v>
      </c>
      <c r="AB23" s="63">
        <f t="shared" si="7"/>
        <v>174.8</v>
      </c>
      <c r="AC23" s="62">
        <f t="shared" si="5"/>
        <v>204.18</v>
      </c>
      <c r="AD23" s="62" t="str">
        <f t="shared" si="6"/>
        <v>64900-631XLR</v>
      </c>
      <c r="AE23" s="64"/>
      <c r="AF23" s="65"/>
      <c r="AG23" s="20" t="s">
        <v>43</v>
      </c>
      <c r="AH23" s="29">
        <v>66277</v>
      </c>
      <c r="AI23" s="17"/>
    </row>
    <row r="24" spans="1:35" x14ac:dyDescent="0.25">
      <c r="A24" s="56">
        <v>44756</v>
      </c>
      <c r="B24" s="57" t="s">
        <v>162</v>
      </c>
      <c r="C24" s="31"/>
      <c r="D24" s="17" t="s">
        <v>163</v>
      </c>
      <c r="E24" s="16">
        <v>44755</v>
      </c>
      <c r="F24" s="17" t="s">
        <v>164</v>
      </c>
      <c r="G24" s="18" t="s">
        <v>165</v>
      </c>
      <c r="H24" s="19">
        <v>1</v>
      </c>
      <c r="I24" s="20">
        <v>0</v>
      </c>
      <c r="J24" s="20">
        <v>49.93</v>
      </c>
      <c r="K24" s="58">
        <v>963977</v>
      </c>
      <c r="L24" s="59"/>
      <c r="M24" s="59"/>
      <c r="N24" s="59"/>
      <c r="O24" s="60">
        <f t="shared" si="0"/>
        <v>0</v>
      </c>
      <c r="P24" s="59"/>
      <c r="Q24" s="59"/>
      <c r="R24" s="61"/>
      <c r="S24" s="61"/>
      <c r="T24" s="61"/>
      <c r="U24" s="61"/>
      <c r="V24" s="61"/>
      <c r="W24" s="62">
        <v>2</v>
      </c>
      <c r="X24" s="63">
        <v>200</v>
      </c>
      <c r="Y24" s="62" t="str">
        <f t="shared" si="1"/>
        <v>CH596</v>
      </c>
      <c r="Z24" s="62">
        <f t="shared" si="2"/>
        <v>0</v>
      </c>
      <c r="AA24" s="63">
        <f t="shared" si="3"/>
        <v>2</v>
      </c>
      <c r="AB24" s="63">
        <f t="shared" si="7"/>
        <v>49.93</v>
      </c>
      <c r="AC24" s="62">
        <f t="shared" si="5"/>
        <v>200</v>
      </c>
      <c r="AD24" s="62" t="str">
        <f t="shared" si="6"/>
        <v>66003-596</v>
      </c>
      <c r="AE24" s="64"/>
      <c r="AF24" s="65"/>
      <c r="AG24" s="20" t="s">
        <v>43</v>
      </c>
      <c r="AH24" s="29" t="s">
        <v>166</v>
      </c>
      <c r="AI24" s="30">
        <v>45076</v>
      </c>
    </row>
    <row r="25" spans="1:35" x14ac:dyDescent="0.25">
      <c r="A25" s="72">
        <v>44771</v>
      </c>
      <c r="B25" s="73">
        <v>325128</v>
      </c>
      <c r="C25" s="31"/>
      <c r="D25" s="17" t="s">
        <v>167</v>
      </c>
      <c r="E25" s="16">
        <v>44770</v>
      </c>
      <c r="F25" s="17" t="s">
        <v>168</v>
      </c>
      <c r="G25" s="62"/>
      <c r="H25" s="62">
        <v>1</v>
      </c>
      <c r="I25" s="62"/>
      <c r="J25" s="59"/>
      <c r="K25" s="58">
        <v>965795</v>
      </c>
      <c r="L25" s="59"/>
      <c r="M25" s="59"/>
      <c r="N25" s="59"/>
      <c r="O25" s="60">
        <f t="shared" si="0"/>
        <v>0</v>
      </c>
      <c r="P25" s="59"/>
      <c r="Q25" s="59"/>
      <c r="R25" s="61"/>
      <c r="S25" s="61"/>
      <c r="T25" s="61"/>
      <c r="U25" s="61"/>
      <c r="V25" s="61"/>
      <c r="W25" s="62">
        <v>1</v>
      </c>
      <c r="X25" s="63">
        <v>0</v>
      </c>
      <c r="Y25" s="62" t="str">
        <f t="shared" si="1"/>
        <v>LAB-RE-L222</v>
      </c>
      <c r="Z25" s="62">
        <f t="shared" si="2"/>
        <v>0</v>
      </c>
      <c r="AA25" s="63">
        <f t="shared" si="3"/>
        <v>1</v>
      </c>
      <c r="AB25" s="63">
        <f t="shared" si="7"/>
        <v>0</v>
      </c>
      <c r="AC25" s="62">
        <f t="shared" si="5"/>
        <v>0</v>
      </c>
      <c r="AD25" s="62">
        <f t="shared" si="6"/>
        <v>0</v>
      </c>
      <c r="AE25" s="64"/>
      <c r="AF25" s="65"/>
      <c r="AG25" s="20" t="s">
        <v>43</v>
      </c>
      <c r="AH25" s="29">
        <v>67254</v>
      </c>
      <c r="AI25" s="30">
        <v>45124</v>
      </c>
    </row>
    <row r="26" spans="1:35" x14ac:dyDescent="0.25">
      <c r="A26" s="71">
        <v>44788</v>
      </c>
      <c r="B26" s="37" t="s">
        <v>169</v>
      </c>
      <c r="C26" s="31"/>
      <c r="D26" s="17" t="s">
        <v>118</v>
      </c>
      <c r="E26" s="16">
        <v>44784</v>
      </c>
      <c r="F26" s="17" t="s">
        <v>170</v>
      </c>
      <c r="G26" s="18" t="s">
        <v>120</v>
      </c>
      <c r="H26" s="19">
        <v>4</v>
      </c>
      <c r="I26" s="20">
        <v>0</v>
      </c>
      <c r="J26" s="20">
        <v>16.62</v>
      </c>
      <c r="K26" s="58">
        <v>967485</v>
      </c>
      <c r="L26" s="59"/>
      <c r="M26" s="59"/>
      <c r="N26" s="59"/>
      <c r="O26" s="60">
        <f t="shared" si="0"/>
        <v>0</v>
      </c>
      <c r="P26" s="59"/>
      <c r="Q26" s="59"/>
      <c r="R26" s="61"/>
      <c r="S26" s="61"/>
      <c r="T26" s="61"/>
      <c r="U26" s="61"/>
      <c r="V26" s="61"/>
      <c r="W26" s="62">
        <v>1</v>
      </c>
      <c r="X26" s="63">
        <v>37.659999999999997</v>
      </c>
      <c r="Y26" s="62" t="str">
        <f t="shared" si="1"/>
        <v>CA192</v>
      </c>
      <c r="Z26" s="62">
        <f t="shared" si="2"/>
        <v>0</v>
      </c>
      <c r="AA26" s="63">
        <f t="shared" si="3"/>
        <v>1</v>
      </c>
      <c r="AB26" s="63">
        <f t="shared" si="7"/>
        <v>16.62</v>
      </c>
      <c r="AC26" s="62">
        <f t="shared" si="5"/>
        <v>37.659999999999997</v>
      </c>
      <c r="AD26" s="62" t="str">
        <f t="shared" si="6"/>
        <v>66002-799</v>
      </c>
      <c r="AE26" s="64"/>
      <c r="AF26" s="65"/>
      <c r="AG26" s="20" t="s">
        <v>59</v>
      </c>
      <c r="AH26" s="29">
        <v>2403</v>
      </c>
      <c r="AI26" s="30">
        <v>45330</v>
      </c>
    </row>
    <row r="27" spans="1:35" x14ac:dyDescent="0.25">
      <c r="A27" s="66">
        <v>44817</v>
      </c>
      <c r="B27" s="13" t="s">
        <v>171</v>
      </c>
      <c r="C27" s="31" t="s">
        <v>172</v>
      </c>
      <c r="D27" s="17" t="s">
        <v>173</v>
      </c>
      <c r="E27" s="16">
        <v>44777</v>
      </c>
      <c r="F27" s="17" t="s">
        <v>119</v>
      </c>
      <c r="G27" s="18" t="s">
        <v>174</v>
      </c>
      <c r="H27" s="19">
        <v>1</v>
      </c>
      <c r="I27" s="17" t="s">
        <v>175</v>
      </c>
      <c r="J27" s="20">
        <v>236.28</v>
      </c>
      <c r="K27" s="58"/>
      <c r="L27" s="59"/>
      <c r="M27" s="59"/>
      <c r="N27" s="59"/>
      <c r="O27" s="60">
        <f t="shared" si="0"/>
        <v>0</v>
      </c>
      <c r="P27" s="59"/>
      <c r="Q27" s="59"/>
      <c r="R27" s="61"/>
      <c r="S27" s="61"/>
      <c r="T27" s="61"/>
      <c r="U27" s="61"/>
      <c r="V27" s="61"/>
      <c r="W27" s="62">
        <v>2</v>
      </c>
      <c r="X27" s="63">
        <v>0</v>
      </c>
      <c r="Y27" s="62" t="str">
        <f t="shared" si="1"/>
        <v>CH610</v>
      </c>
      <c r="Z27" s="62" t="str">
        <f t="shared" si="2"/>
        <v>1/TSB004</v>
      </c>
      <c r="AA27" s="63">
        <f t="shared" si="3"/>
        <v>2</v>
      </c>
      <c r="AB27" s="63">
        <f t="shared" si="7"/>
        <v>236.28</v>
      </c>
      <c r="AC27" s="62">
        <f t="shared" si="5"/>
        <v>0</v>
      </c>
      <c r="AD27" s="62" t="str">
        <f t="shared" si="6"/>
        <v>67001-915</v>
      </c>
      <c r="AE27" s="64"/>
      <c r="AF27" s="65"/>
      <c r="AG27" s="20" t="s">
        <v>43</v>
      </c>
      <c r="AH27" s="29"/>
      <c r="AI27" s="30">
        <v>45339</v>
      </c>
    </row>
    <row r="28" spans="1:35" x14ac:dyDescent="0.25">
      <c r="A28" s="56">
        <v>44833</v>
      </c>
      <c r="B28" s="57" t="s">
        <v>176</v>
      </c>
      <c r="C28" s="31" t="s">
        <v>177</v>
      </c>
      <c r="D28" s="17" t="s">
        <v>178</v>
      </c>
      <c r="E28" s="16">
        <v>44837</v>
      </c>
      <c r="F28" s="17" t="s">
        <v>179</v>
      </c>
      <c r="G28" s="18" t="s">
        <v>180</v>
      </c>
      <c r="H28" s="19">
        <v>1</v>
      </c>
      <c r="I28" s="17" t="s">
        <v>181</v>
      </c>
      <c r="J28" s="20">
        <v>13.78</v>
      </c>
      <c r="K28" s="58">
        <v>971299</v>
      </c>
      <c r="L28" s="59"/>
      <c r="M28" s="59">
        <v>6.4</v>
      </c>
      <c r="N28" s="59">
        <v>4</v>
      </c>
      <c r="O28" s="60">
        <f t="shared" si="0"/>
        <v>25.6</v>
      </c>
      <c r="P28" s="59" t="s">
        <v>182</v>
      </c>
      <c r="Q28" s="59" t="s">
        <v>183</v>
      </c>
      <c r="R28" s="61"/>
      <c r="S28" s="61"/>
      <c r="T28" s="61"/>
      <c r="U28" s="61"/>
      <c r="V28" s="61"/>
      <c r="W28" s="62">
        <v>2</v>
      </c>
      <c r="X28" s="63">
        <v>95</v>
      </c>
      <c r="Y28" s="62" t="str">
        <f t="shared" si="1"/>
        <v>PACK</v>
      </c>
      <c r="Z28" s="62" t="str">
        <f t="shared" si="2"/>
        <v>2/K226650UE01</v>
      </c>
      <c r="AA28" s="63">
        <f t="shared" si="3"/>
        <v>2</v>
      </c>
      <c r="AB28" s="63">
        <f t="shared" si="7"/>
        <v>13.78</v>
      </c>
      <c r="AC28" s="62">
        <f t="shared" si="5"/>
        <v>95</v>
      </c>
      <c r="AD28" s="62" t="str">
        <f t="shared" si="6"/>
        <v>66004-084</v>
      </c>
      <c r="AE28" s="64"/>
      <c r="AF28" s="65"/>
      <c r="AG28" s="20" t="s">
        <v>13</v>
      </c>
      <c r="AH28" s="29" t="s">
        <v>184</v>
      </c>
      <c r="AI28" s="30">
        <v>45307</v>
      </c>
    </row>
    <row r="29" spans="1:35" x14ac:dyDescent="0.25">
      <c r="A29" s="72">
        <v>44848</v>
      </c>
      <c r="B29" s="73" t="s">
        <v>185</v>
      </c>
      <c r="C29" s="31" t="s">
        <v>186</v>
      </c>
      <c r="D29" s="17" t="s">
        <v>187</v>
      </c>
      <c r="E29" s="16">
        <v>44847</v>
      </c>
      <c r="F29" s="17" t="s">
        <v>188</v>
      </c>
      <c r="G29" s="18" t="s">
        <v>189</v>
      </c>
      <c r="H29" s="19">
        <v>1</v>
      </c>
      <c r="I29" s="17" t="s">
        <v>190</v>
      </c>
      <c r="J29" s="20">
        <v>18.28</v>
      </c>
      <c r="K29" s="58">
        <v>974617</v>
      </c>
      <c r="L29" s="59"/>
      <c r="M29" s="59">
        <v>9.6</v>
      </c>
      <c r="N29" s="59">
        <v>2</v>
      </c>
      <c r="O29" s="60">
        <f t="shared" si="0"/>
        <v>19.2</v>
      </c>
      <c r="P29" s="59" t="s">
        <v>154</v>
      </c>
      <c r="Q29" s="59" t="s">
        <v>191</v>
      </c>
      <c r="R29" s="61"/>
      <c r="S29" s="61"/>
      <c r="T29" s="61"/>
      <c r="U29" s="61"/>
      <c r="V29" s="61"/>
      <c r="W29" s="62">
        <v>1.44</v>
      </c>
      <c r="X29" s="63">
        <v>75</v>
      </c>
      <c r="Y29" s="62" t="str">
        <f t="shared" si="1"/>
        <v>RECELL106</v>
      </c>
      <c r="Z29" s="62" t="str">
        <f t="shared" si="2"/>
        <v>8/IMX-2000Cs</v>
      </c>
      <c r="AA29" s="63">
        <f t="shared" si="3"/>
        <v>1.44</v>
      </c>
      <c r="AB29" s="63">
        <f t="shared" si="7"/>
        <v>18.28</v>
      </c>
      <c r="AC29" s="62">
        <f t="shared" si="5"/>
        <v>75</v>
      </c>
      <c r="AD29" s="62" t="str">
        <f t="shared" si="6"/>
        <v>22000-438A</v>
      </c>
      <c r="AE29" s="64"/>
      <c r="AF29" s="65"/>
      <c r="AG29" s="20" t="s">
        <v>59</v>
      </c>
      <c r="AH29" s="29">
        <v>23955</v>
      </c>
      <c r="AI29" s="17"/>
    </row>
    <row r="30" spans="1:35" x14ac:dyDescent="0.25">
      <c r="A30" s="56">
        <v>44854</v>
      </c>
      <c r="B30" s="57" t="s">
        <v>192</v>
      </c>
      <c r="C30" s="31" t="s">
        <v>172</v>
      </c>
      <c r="D30" s="17" t="s">
        <v>173</v>
      </c>
      <c r="E30" s="16">
        <v>44838</v>
      </c>
      <c r="F30" s="17" t="s">
        <v>119</v>
      </c>
      <c r="G30" s="18" t="s">
        <v>174</v>
      </c>
      <c r="H30" s="19">
        <v>1</v>
      </c>
      <c r="I30" s="17" t="s">
        <v>175</v>
      </c>
      <c r="J30" s="20">
        <v>237.66</v>
      </c>
      <c r="K30" s="58"/>
      <c r="L30" s="59"/>
      <c r="M30" s="59"/>
      <c r="N30" s="59"/>
      <c r="O30" s="60">
        <f t="shared" si="0"/>
        <v>0</v>
      </c>
      <c r="P30" s="59"/>
      <c r="Q30" s="59"/>
      <c r="R30" s="61"/>
      <c r="S30" s="61"/>
      <c r="T30" s="61"/>
      <c r="U30" s="61"/>
      <c r="V30" s="61"/>
      <c r="W30" s="62">
        <v>2</v>
      </c>
      <c r="X30" s="63">
        <v>0</v>
      </c>
      <c r="Y30" s="62" t="str">
        <f t="shared" si="1"/>
        <v>CH610</v>
      </c>
      <c r="Z30" s="62" t="str">
        <f t="shared" si="2"/>
        <v>1/TSB004</v>
      </c>
      <c r="AA30" s="63">
        <f t="shared" si="3"/>
        <v>2</v>
      </c>
      <c r="AB30" s="63">
        <f t="shared" si="7"/>
        <v>237.66</v>
      </c>
      <c r="AC30" s="62">
        <f t="shared" si="5"/>
        <v>0</v>
      </c>
      <c r="AD30" s="62" t="str">
        <f t="shared" si="6"/>
        <v>67001-915</v>
      </c>
      <c r="AE30" s="64"/>
      <c r="AF30" s="65"/>
      <c r="AG30" s="20"/>
      <c r="AH30" s="29"/>
      <c r="AI30" s="30">
        <v>45308</v>
      </c>
    </row>
    <row r="31" spans="1:35" x14ac:dyDescent="0.25">
      <c r="A31" s="71">
        <v>44858</v>
      </c>
      <c r="B31" s="37" t="s">
        <v>193</v>
      </c>
      <c r="C31" s="31" t="s">
        <v>194</v>
      </c>
      <c r="D31" s="17" t="s">
        <v>195</v>
      </c>
      <c r="E31" s="16">
        <v>44845</v>
      </c>
      <c r="F31" s="17" t="s">
        <v>196</v>
      </c>
      <c r="G31" s="18" t="s">
        <v>197</v>
      </c>
      <c r="H31" s="19">
        <v>5</v>
      </c>
      <c r="I31" s="17" t="s">
        <v>198</v>
      </c>
      <c r="J31" s="20">
        <v>1689.2</v>
      </c>
      <c r="K31" s="58">
        <v>974610</v>
      </c>
      <c r="L31" s="59"/>
      <c r="M31" s="59" t="s">
        <v>199</v>
      </c>
      <c r="N31" s="59">
        <v>4.5</v>
      </c>
      <c r="O31" s="60">
        <f>2*97.2</f>
        <v>194.4</v>
      </c>
      <c r="P31" s="59" t="s">
        <v>139</v>
      </c>
      <c r="Q31" s="59" t="s">
        <v>200</v>
      </c>
      <c r="R31" s="61"/>
      <c r="S31" s="61"/>
      <c r="T31" s="61"/>
      <c r="U31" s="61"/>
      <c r="V31" s="61"/>
      <c r="W31" s="62">
        <v>4.3099999999999996</v>
      </c>
      <c r="X31" s="63">
        <v>845</v>
      </c>
      <c r="Y31" s="62" t="str">
        <f t="shared" si="1"/>
        <v>RL638B</v>
      </c>
      <c r="Z31" s="62" t="str">
        <f t="shared" si="2"/>
        <v>24/UR18650A</v>
      </c>
      <c r="AA31" s="63">
        <f t="shared" si="3"/>
        <v>4.3099999999999996</v>
      </c>
      <c r="AB31" s="63">
        <f t="shared" si="7"/>
        <v>1689.2</v>
      </c>
      <c r="AC31" s="62">
        <f t="shared" si="5"/>
        <v>845</v>
      </c>
      <c r="AD31" s="62" t="str">
        <f t="shared" si="6"/>
        <v>66001-520</v>
      </c>
      <c r="AE31" s="64"/>
      <c r="AF31" s="65"/>
      <c r="AG31" s="20" t="s">
        <v>13</v>
      </c>
      <c r="AH31" s="29">
        <v>1167</v>
      </c>
      <c r="AI31" s="17" t="s">
        <v>201</v>
      </c>
    </row>
    <row r="32" spans="1:35" x14ac:dyDescent="0.25">
      <c r="A32" s="72">
        <v>44869</v>
      </c>
      <c r="B32" s="73" t="s">
        <v>202</v>
      </c>
      <c r="C32" s="31" t="s">
        <v>203</v>
      </c>
      <c r="D32" s="17" t="s">
        <v>204</v>
      </c>
      <c r="E32" s="16">
        <v>44882</v>
      </c>
      <c r="F32" s="17" t="s">
        <v>205</v>
      </c>
      <c r="G32" s="18" t="s">
        <v>206</v>
      </c>
      <c r="H32" s="19">
        <v>600</v>
      </c>
      <c r="I32" s="17" t="s">
        <v>207</v>
      </c>
      <c r="J32" s="20">
        <v>2.4</v>
      </c>
      <c r="K32" s="58">
        <v>977349</v>
      </c>
      <c r="L32" s="59"/>
      <c r="M32" s="59">
        <v>3.7</v>
      </c>
      <c r="N32" s="59">
        <v>1.7</v>
      </c>
      <c r="O32" s="60">
        <f t="shared" ref="O32:O71" si="8">N32*M32</f>
        <v>6.29</v>
      </c>
      <c r="P32" s="59" t="s">
        <v>139</v>
      </c>
      <c r="Q32" s="59" t="s">
        <v>42</v>
      </c>
      <c r="R32" s="61"/>
      <c r="S32" s="61"/>
      <c r="T32" s="61"/>
      <c r="U32" s="61"/>
      <c r="V32" s="61"/>
      <c r="W32" s="62">
        <v>0.4</v>
      </c>
      <c r="X32" s="63">
        <v>10</v>
      </c>
      <c r="Y32" s="62" t="str">
        <f t="shared" si="1"/>
        <v>RL1631</v>
      </c>
      <c r="Z32" s="62" t="str">
        <f t="shared" si="2"/>
        <v xml:space="preserve">1/UR18500FK </v>
      </c>
      <c r="AA32" s="63">
        <f t="shared" si="3"/>
        <v>0.4</v>
      </c>
      <c r="AB32" s="63">
        <f t="shared" si="7"/>
        <v>2.4</v>
      </c>
      <c r="AC32" s="62">
        <f t="shared" si="5"/>
        <v>10</v>
      </c>
      <c r="AD32" s="62" t="str">
        <f t="shared" si="6"/>
        <v>66003-088</v>
      </c>
      <c r="AE32" s="64"/>
      <c r="AF32" s="65"/>
      <c r="AG32" s="20" t="s">
        <v>59</v>
      </c>
      <c r="AH32" s="29">
        <v>66872</v>
      </c>
      <c r="AI32" s="30">
        <v>45329</v>
      </c>
    </row>
    <row r="33" spans="1:35" x14ac:dyDescent="0.25">
      <c r="A33" s="66">
        <v>44873</v>
      </c>
      <c r="B33" s="13">
        <v>327561</v>
      </c>
      <c r="C33" s="31"/>
      <c r="D33" s="17" t="s">
        <v>208</v>
      </c>
      <c r="E33" s="16">
        <v>44872</v>
      </c>
      <c r="F33" s="17" t="s">
        <v>164</v>
      </c>
      <c r="G33" s="18"/>
      <c r="H33" s="19">
        <v>1</v>
      </c>
      <c r="I33" s="17"/>
      <c r="J33" s="20">
        <v>0</v>
      </c>
      <c r="K33" s="58">
        <v>975459</v>
      </c>
      <c r="L33" s="59"/>
      <c r="M33" s="59"/>
      <c r="N33" s="59"/>
      <c r="O33" s="60">
        <f t="shared" si="8"/>
        <v>0</v>
      </c>
      <c r="P33" s="59"/>
      <c r="Q33" s="59"/>
      <c r="R33" s="61"/>
      <c r="S33" s="61"/>
      <c r="T33" s="61"/>
      <c r="U33" s="61"/>
      <c r="V33" s="61"/>
      <c r="W33" s="62">
        <v>0.5</v>
      </c>
      <c r="X33" s="63">
        <v>16.649999999999999</v>
      </c>
      <c r="Y33" s="62" t="str">
        <f t="shared" si="1"/>
        <v>Lab-conn</v>
      </c>
      <c r="Z33" s="62">
        <f t="shared" si="2"/>
        <v>0</v>
      </c>
      <c r="AA33" s="63">
        <f t="shared" si="3"/>
        <v>0.5</v>
      </c>
      <c r="AB33" s="63">
        <f t="shared" si="7"/>
        <v>0</v>
      </c>
      <c r="AC33" s="62">
        <f t="shared" si="5"/>
        <v>16.649999999999999</v>
      </c>
      <c r="AD33" s="62">
        <f t="shared" si="6"/>
        <v>0</v>
      </c>
      <c r="AE33" s="64"/>
      <c r="AF33" s="65"/>
      <c r="AG33" s="20" t="s">
        <v>59</v>
      </c>
      <c r="AH33" s="29" t="s">
        <v>166</v>
      </c>
      <c r="AI33" s="30">
        <v>45336</v>
      </c>
    </row>
    <row r="34" spans="1:35" x14ac:dyDescent="0.25">
      <c r="A34" s="67">
        <v>44874</v>
      </c>
      <c r="B34" s="39" t="s">
        <v>209</v>
      </c>
      <c r="C34" s="31" t="s">
        <v>210</v>
      </c>
      <c r="D34" s="17" t="s">
        <v>211</v>
      </c>
      <c r="E34" s="16">
        <v>44874</v>
      </c>
      <c r="F34" s="17" t="s">
        <v>196</v>
      </c>
      <c r="G34" s="18" t="s">
        <v>212</v>
      </c>
      <c r="H34" s="19">
        <v>5</v>
      </c>
      <c r="I34" s="17" t="s">
        <v>213</v>
      </c>
      <c r="J34" s="20">
        <v>69.3</v>
      </c>
      <c r="K34" s="58">
        <v>977965</v>
      </c>
      <c r="L34" s="59"/>
      <c r="M34" s="59"/>
      <c r="N34" s="59"/>
      <c r="O34" s="60">
        <f t="shared" si="8"/>
        <v>0</v>
      </c>
      <c r="P34" s="59"/>
      <c r="Q34" s="59"/>
      <c r="R34" s="61"/>
      <c r="S34" s="61"/>
      <c r="T34" s="61"/>
      <c r="U34" s="61"/>
      <c r="V34" s="61"/>
      <c r="W34" s="62">
        <v>2</v>
      </c>
      <c r="X34" s="63">
        <v>200</v>
      </c>
      <c r="Y34" s="62" t="str">
        <f t="shared" si="1"/>
        <v>CH605A</v>
      </c>
      <c r="Z34" s="62" t="str">
        <f t="shared" si="2"/>
        <v xml:space="preserve">2/TSB-003APCB </v>
      </c>
      <c r="AA34" s="63">
        <f t="shared" si="3"/>
        <v>2</v>
      </c>
      <c r="AB34" s="63">
        <f t="shared" si="7"/>
        <v>69.3</v>
      </c>
      <c r="AC34" s="62">
        <f t="shared" si="5"/>
        <v>200</v>
      </c>
      <c r="AD34" s="62" t="str">
        <f t="shared" si="6"/>
        <v>66003-606</v>
      </c>
      <c r="AE34" s="64"/>
      <c r="AF34" s="65"/>
      <c r="AG34" s="20" t="s">
        <v>71</v>
      </c>
      <c r="AH34" s="29">
        <v>1167</v>
      </c>
      <c r="AI34" s="30">
        <v>45341</v>
      </c>
    </row>
    <row r="35" spans="1:35" x14ac:dyDescent="0.25">
      <c r="A35" s="71">
        <v>44893</v>
      </c>
      <c r="B35" s="37">
        <v>328197</v>
      </c>
      <c r="C35" s="74"/>
      <c r="D35" s="17" t="s">
        <v>214</v>
      </c>
      <c r="E35" s="16">
        <v>44890</v>
      </c>
      <c r="F35" s="17" t="s">
        <v>46</v>
      </c>
      <c r="G35" s="18"/>
      <c r="H35" s="19">
        <v>14</v>
      </c>
      <c r="I35" s="17"/>
      <c r="J35" s="20">
        <v>0</v>
      </c>
      <c r="K35" s="58">
        <v>979888</v>
      </c>
      <c r="L35" s="59"/>
      <c r="M35" s="59"/>
      <c r="N35" s="59"/>
      <c r="O35" s="60">
        <f t="shared" si="8"/>
        <v>0</v>
      </c>
      <c r="P35" s="59"/>
      <c r="Q35" s="59"/>
      <c r="R35" s="61"/>
      <c r="S35" s="61"/>
      <c r="T35" s="61"/>
      <c r="U35" s="61"/>
      <c r="V35" s="61"/>
      <c r="W35" s="62">
        <v>2</v>
      </c>
      <c r="X35" s="63">
        <v>47</v>
      </c>
      <c r="Y35" s="62" t="str">
        <f t="shared" si="1"/>
        <v>LAB-RL1365</v>
      </c>
      <c r="Z35" s="62">
        <f t="shared" si="2"/>
        <v>0</v>
      </c>
      <c r="AA35" s="63">
        <f t="shared" si="3"/>
        <v>2</v>
      </c>
      <c r="AB35" s="63">
        <f t="shared" si="7"/>
        <v>0</v>
      </c>
      <c r="AC35" s="62">
        <f t="shared" si="5"/>
        <v>47</v>
      </c>
      <c r="AD35" s="62">
        <f t="shared" si="6"/>
        <v>0</v>
      </c>
      <c r="AE35" s="64"/>
      <c r="AF35" s="65"/>
      <c r="AG35" s="20" t="s">
        <v>43</v>
      </c>
      <c r="AH35" s="29">
        <v>65551</v>
      </c>
      <c r="AI35" s="30">
        <v>45036</v>
      </c>
    </row>
    <row r="36" spans="1:35" x14ac:dyDescent="0.25">
      <c r="A36" s="72">
        <v>44897</v>
      </c>
      <c r="B36" s="73" t="s">
        <v>215</v>
      </c>
      <c r="C36" s="31" t="s">
        <v>172</v>
      </c>
      <c r="D36" s="17" t="s">
        <v>216</v>
      </c>
      <c r="E36" s="16">
        <v>44894</v>
      </c>
      <c r="F36" s="17" t="s">
        <v>217</v>
      </c>
      <c r="G36" s="18" t="s">
        <v>218</v>
      </c>
      <c r="H36" s="19">
        <v>1</v>
      </c>
      <c r="I36" s="17" t="s">
        <v>175</v>
      </c>
      <c r="J36" s="20">
        <v>235.09</v>
      </c>
      <c r="K36" s="58"/>
      <c r="L36" s="59"/>
      <c r="M36" s="59"/>
      <c r="N36" s="59"/>
      <c r="O36" s="60">
        <f t="shared" si="8"/>
        <v>0</v>
      </c>
      <c r="P36" s="59"/>
      <c r="Q36" s="59"/>
      <c r="R36" s="61"/>
      <c r="S36" s="61"/>
      <c r="T36" s="61"/>
      <c r="U36" s="61"/>
      <c r="V36" s="61"/>
      <c r="W36" s="62">
        <v>0.25</v>
      </c>
      <c r="X36" s="63">
        <v>0</v>
      </c>
      <c r="Y36" s="62" t="str">
        <f t="shared" si="1"/>
        <v>CH610A</v>
      </c>
      <c r="Z36" s="62" t="str">
        <f t="shared" si="2"/>
        <v>1/TSB004</v>
      </c>
      <c r="AA36" s="63">
        <f t="shared" si="3"/>
        <v>0.25</v>
      </c>
      <c r="AB36" s="63">
        <f t="shared" si="7"/>
        <v>235.09</v>
      </c>
      <c r="AC36" s="62">
        <f t="shared" si="5"/>
        <v>0</v>
      </c>
      <c r="AD36" s="62" t="str">
        <f t="shared" si="6"/>
        <v>67001-9151</v>
      </c>
      <c r="AE36" s="64"/>
      <c r="AF36" s="65"/>
      <c r="AG36" s="20" t="s">
        <v>119</v>
      </c>
      <c r="AH36" s="29"/>
      <c r="AI36" s="30">
        <v>45079</v>
      </c>
    </row>
    <row r="37" spans="1:35" x14ac:dyDescent="0.25">
      <c r="A37" s="71">
        <v>44907</v>
      </c>
      <c r="B37" s="37" t="s">
        <v>219</v>
      </c>
      <c r="C37" s="31" t="s">
        <v>220</v>
      </c>
      <c r="D37" s="17" t="s">
        <v>221</v>
      </c>
      <c r="E37" s="16">
        <v>44872</v>
      </c>
      <c r="F37" s="17" t="s">
        <v>222</v>
      </c>
      <c r="G37" s="18" t="s">
        <v>223</v>
      </c>
      <c r="H37" s="19">
        <v>3</v>
      </c>
      <c r="I37" s="17" t="s">
        <v>224</v>
      </c>
      <c r="J37" s="20">
        <v>6.72</v>
      </c>
      <c r="K37" s="58">
        <v>975222</v>
      </c>
      <c r="L37" s="59"/>
      <c r="M37" s="59">
        <v>14</v>
      </c>
      <c r="N37" s="59"/>
      <c r="O37" s="60">
        <f t="shared" si="8"/>
        <v>0</v>
      </c>
      <c r="P37" s="59" t="s">
        <v>225</v>
      </c>
      <c r="Q37" s="59" t="s">
        <v>226</v>
      </c>
      <c r="R37" s="61"/>
      <c r="S37" s="61"/>
      <c r="T37" s="61"/>
      <c r="U37" s="61"/>
      <c r="V37" s="61"/>
      <c r="W37" s="62">
        <v>1.27</v>
      </c>
      <c r="X37" s="63">
        <v>60</v>
      </c>
      <c r="Y37" s="62" t="str">
        <f t="shared" si="1"/>
        <v>AL139</v>
      </c>
      <c r="Z37" s="62" t="str">
        <f t="shared" si="2"/>
        <v>27/LR6XW</v>
      </c>
      <c r="AA37" s="63">
        <f t="shared" si="3"/>
        <v>1.27</v>
      </c>
      <c r="AB37" s="63">
        <f t="shared" si="7"/>
        <v>6.72</v>
      </c>
      <c r="AC37" s="62">
        <f t="shared" si="5"/>
        <v>60</v>
      </c>
      <c r="AD37" s="62" t="str">
        <f t="shared" si="6"/>
        <v>66000-184</v>
      </c>
      <c r="AE37" s="64"/>
      <c r="AF37" s="65"/>
      <c r="AG37" s="20" t="s">
        <v>59</v>
      </c>
      <c r="AH37" s="29">
        <v>65701</v>
      </c>
      <c r="AI37" s="30">
        <v>45079</v>
      </c>
    </row>
    <row r="38" spans="1:35" x14ac:dyDescent="0.25">
      <c r="A38" s="71">
        <v>44935</v>
      </c>
      <c r="B38" s="37" t="s">
        <v>227</v>
      </c>
      <c r="C38" s="31" t="s">
        <v>228</v>
      </c>
      <c r="D38" s="17" t="s">
        <v>229</v>
      </c>
      <c r="E38" s="16">
        <v>44944</v>
      </c>
      <c r="F38" s="17" t="s">
        <v>230</v>
      </c>
      <c r="G38" s="18" t="s">
        <v>231</v>
      </c>
      <c r="H38" s="19">
        <v>1</v>
      </c>
      <c r="I38" s="17" t="s">
        <v>232</v>
      </c>
      <c r="J38" s="20">
        <v>39.68</v>
      </c>
      <c r="K38" s="58">
        <v>983266</v>
      </c>
      <c r="L38" s="59"/>
      <c r="M38" s="59"/>
      <c r="N38" s="59"/>
      <c r="O38" s="60">
        <f t="shared" si="8"/>
        <v>0</v>
      </c>
      <c r="P38" s="59"/>
      <c r="Q38" s="59"/>
      <c r="R38" s="61"/>
      <c r="S38" s="61"/>
      <c r="T38" s="61"/>
      <c r="U38" s="61"/>
      <c r="V38" s="61"/>
      <c r="W38" s="62">
        <v>0.12</v>
      </c>
      <c r="X38" s="63">
        <v>80</v>
      </c>
      <c r="Y38" s="62" t="str">
        <f t="shared" si="1"/>
        <v>CH211A</v>
      </c>
      <c r="Z38" s="62" t="str">
        <f t="shared" si="2"/>
        <v>1/TSB-002PCB</v>
      </c>
      <c r="AA38" s="63">
        <f t="shared" si="3"/>
        <v>0.12</v>
      </c>
      <c r="AB38" s="63">
        <f t="shared" si="7"/>
        <v>39.68</v>
      </c>
      <c r="AC38" s="62">
        <f t="shared" si="5"/>
        <v>80</v>
      </c>
      <c r="AD38" s="62" t="str">
        <f t="shared" si="6"/>
        <v>66000-118A</v>
      </c>
      <c r="AE38" s="64"/>
      <c r="AF38" s="65"/>
      <c r="AG38" s="20" t="s">
        <v>43</v>
      </c>
      <c r="AH38" s="29">
        <v>66116</v>
      </c>
      <c r="AI38" s="30">
        <v>45342</v>
      </c>
    </row>
    <row r="39" spans="1:35" x14ac:dyDescent="0.25">
      <c r="A39" s="66">
        <v>44943</v>
      </c>
      <c r="B39" s="13" t="s">
        <v>233</v>
      </c>
      <c r="C39" s="31" t="s">
        <v>234</v>
      </c>
      <c r="D39" s="17" t="s">
        <v>235</v>
      </c>
      <c r="E39" s="16">
        <v>44971</v>
      </c>
      <c r="F39" s="17" t="s">
        <v>80</v>
      </c>
      <c r="G39" s="18" t="s">
        <v>236</v>
      </c>
      <c r="H39" s="19">
        <v>1</v>
      </c>
      <c r="I39" s="17" t="s">
        <v>237</v>
      </c>
      <c r="J39" s="20">
        <v>1570.45</v>
      </c>
      <c r="K39" s="58">
        <v>985076</v>
      </c>
      <c r="L39" s="59"/>
      <c r="M39" s="59"/>
      <c r="N39" s="59"/>
      <c r="O39" s="60">
        <f t="shared" si="8"/>
        <v>0</v>
      </c>
      <c r="P39" s="59"/>
      <c r="Q39" s="59"/>
      <c r="R39" s="61"/>
      <c r="S39" s="61"/>
      <c r="T39" s="61"/>
      <c r="U39" s="61"/>
      <c r="V39" s="61"/>
      <c r="W39" s="62"/>
      <c r="X39" s="63">
        <v>1960</v>
      </c>
      <c r="Y39" s="62" t="str">
        <f t="shared" si="1"/>
        <v>ANALYSER + TP'S + PWR SUPPLY</v>
      </c>
      <c r="Z39" s="62" t="str">
        <f t="shared" si="2"/>
        <v>UBA5</v>
      </c>
      <c r="AA39" s="63">
        <f t="shared" si="3"/>
        <v>0</v>
      </c>
      <c r="AB39" s="63">
        <f t="shared" si="7"/>
        <v>1570.45</v>
      </c>
      <c r="AC39" s="62">
        <f t="shared" si="5"/>
        <v>1960</v>
      </c>
      <c r="AD39" s="62" t="str">
        <f t="shared" si="6"/>
        <v>20006-071A</v>
      </c>
      <c r="AE39" s="64"/>
      <c r="AF39" s="65"/>
      <c r="AG39" s="20" t="s">
        <v>43</v>
      </c>
      <c r="AH39" s="29">
        <v>65616</v>
      </c>
      <c r="AI39" s="17"/>
    </row>
    <row r="40" spans="1:35" x14ac:dyDescent="0.25">
      <c r="A40" s="72">
        <v>44988</v>
      </c>
      <c r="B40" s="73" t="s">
        <v>238</v>
      </c>
      <c r="C40" s="31" t="s">
        <v>239</v>
      </c>
      <c r="D40" s="17" t="s">
        <v>240</v>
      </c>
      <c r="E40" s="16">
        <v>45002</v>
      </c>
      <c r="F40" s="17" t="s">
        <v>241</v>
      </c>
      <c r="G40" s="18" t="s">
        <v>242</v>
      </c>
      <c r="H40" s="19">
        <v>1</v>
      </c>
      <c r="I40" s="17" t="s">
        <v>243</v>
      </c>
      <c r="J40" s="20">
        <v>19.350000000000001</v>
      </c>
      <c r="K40" s="58">
        <v>990220</v>
      </c>
      <c r="L40" s="59"/>
      <c r="M40" s="59">
        <v>10.8</v>
      </c>
      <c r="N40" s="59">
        <v>3.45</v>
      </c>
      <c r="O40" s="60">
        <f t="shared" si="8"/>
        <v>37.260000000000005</v>
      </c>
      <c r="P40" s="59" t="s">
        <v>139</v>
      </c>
      <c r="Q40" s="59" t="s">
        <v>98</v>
      </c>
      <c r="R40" s="61"/>
      <c r="S40" s="61"/>
      <c r="T40" s="61"/>
      <c r="U40" s="61"/>
      <c r="V40" s="61"/>
      <c r="W40" s="62">
        <v>2.2400000000000002</v>
      </c>
      <c r="X40" s="63">
        <v>100</v>
      </c>
      <c r="Y40" s="62" t="str">
        <f t="shared" si="1"/>
        <v>RL1582</v>
      </c>
      <c r="Z40" s="62" t="str">
        <f t="shared" si="2"/>
        <v>3/NCR18650GA</v>
      </c>
      <c r="AA40" s="63">
        <f t="shared" si="3"/>
        <v>2.2400000000000002</v>
      </c>
      <c r="AB40" s="63">
        <f t="shared" si="7"/>
        <v>19.350000000000001</v>
      </c>
      <c r="AC40" s="62">
        <f t="shared" si="5"/>
        <v>100</v>
      </c>
      <c r="AD40" s="62" t="str">
        <f t="shared" si="6"/>
        <v>66003-041</v>
      </c>
      <c r="AE40" s="64"/>
      <c r="AF40" s="65"/>
      <c r="AG40" s="20" t="s">
        <v>59</v>
      </c>
      <c r="AH40" s="29">
        <v>65365</v>
      </c>
      <c r="AI40" s="17"/>
    </row>
    <row r="41" spans="1:35" x14ac:dyDescent="0.25">
      <c r="A41" s="71">
        <v>44998</v>
      </c>
      <c r="B41" s="37" t="s">
        <v>244</v>
      </c>
      <c r="C41" s="31" t="s">
        <v>245</v>
      </c>
      <c r="D41" s="17" t="s">
        <v>246</v>
      </c>
      <c r="E41" s="16">
        <v>45009</v>
      </c>
      <c r="F41" s="17" t="s">
        <v>247</v>
      </c>
      <c r="G41" s="18" t="s">
        <v>248</v>
      </c>
      <c r="H41" s="19">
        <v>88</v>
      </c>
      <c r="I41" s="17" t="s">
        <v>249</v>
      </c>
      <c r="J41" s="20">
        <v>56.24</v>
      </c>
      <c r="K41" s="58">
        <v>991246</v>
      </c>
      <c r="L41" s="59"/>
      <c r="M41" s="59">
        <v>11.1</v>
      </c>
      <c r="N41" s="59">
        <v>2.4</v>
      </c>
      <c r="O41" s="60">
        <f t="shared" si="8"/>
        <v>26.639999999999997</v>
      </c>
      <c r="P41" s="59" t="s">
        <v>139</v>
      </c>
      <c r="Q41" s="59" t="s">
        <v>98</v>
      </c>
      <c r="R41" s="61"/>
      <c r="S41" s="61"/>
      <c r="T41" s="61"/>
      <c r="U41" s="61"/>
      <c r="V41" s="61"/>
      <c r="W41" s="62">
        <v>1.1299999999999999</v>
      </c>
      <c r="X41" s="63">
        <v>193</v>
      </c>
      <c r="Y41" s="62" t="str">
        <f t="shared" si="1"/>
        <v>RL215</v>
      </c>
      <c r="Z41" s="62" t="str">
        <f t="shared" si="2"/>
        <v>3/UR18650FK</v>
      </c>
      <c r="AA41" s="63">
        <f t="shared" si="3"/>
        <v>1.1299999999999999</v>
      </c>
      <c r="AB41" s="63">
        <f t="shared" si="7"/>
        <v>56.24</v>
      </c>
      <c r="AC41" s="62">
        <f t="shared" si="5"/>
        <v>193</v>
      </c>
      <c r="AD41" s="62" t="str">
        <f t="shared" si="6"/>
        <v>66000-479</v>
      </c>
      <c r="AE41" s="64"/>
      <c r="AF41" s="65"/>
      <c r="AG41" s="20" t="s">
        <v>71</v>
      </c>
      <c r="AH41" s="29">
        <v>67018</v>
      </c>
      <c r="AI41" s="30">
        <v>45321</v>
      </c>
    </row>
    <row r="42" spans="1:35" x14ac:dyDescent="0.25">
      <c r="A42" s="71">
        <v>45006</v>
      </c>
      <c r="B42" s="37" t="s">
        <v>250</v>
      </c>
      <c r="C42" s="31" t="s">
        <v>251</v>
      </c>
      <c r="D42" s="17" t="s">
        <v>252</v>
      </c>
      <c r="E42" s="16">
        <v>45019</v>
      </c>
      <c r="F42" s="17" t="s">
        <v>253</v>
      </c>
      <c r="G42" s="18" t="s">
        <v>254</v>
      </c>
      <c r="H42" s="19">
        <v>1</v>
      </c>
      <c r="I42" s="17" t="s">
        <v>255</v>
      </c>
      <c r="J42" s="20">
        <v>328.19</v>
      </c>
      <c r="K42" s="58">
        <v>992241</v>
      </c>
      <c r="L42" s="59"/>
      <c r="M42" s="59">
        <v>25.2</v>
      </c>
      <c r="N42" s="59">
        <v>6.15</v>
      </c>
      <c r="O42" s="60">
        <f t="shared" si="8"/>
        <v>154.98000000000002</v>
      </c>
      <c r="P42" s="59" t="s">
        <v>139</v>
      </c>
      <c r="Q42" s="59" t="s">
        <v>256</v>
      </c>
      <c r="R42" s="61"/>
      <c r="S42" s="61"/>
      <c r="T42" s="61"/>
      <c r="U42" s="61"/>
      <c r="V42" s="61"/>
      <c r="W42" s="62">
        <v>1.71</v>
      </c>
      <c r="X42" s="63">
        <v>328.19</v>
      </c>
      <c r="Y42" s="62" t="str">
        <f t="shared" si="1"/>
        <v>RECELL830</v>
      </c>
      <c r="Z42" s="62" t="str">
        <f t="shared" si="2"/>
        <v>LIBM-LEV24PFP</v>
      </c>
      <c r="AA42" s="63">
        <f t="shared" si="3"/>
        <v>1.71</v>
      </c>
      <c r="AB42" s="63">
        <f t="shared" si="7"/>
        <v>328.19</v>
      </c>
      <c r="AC42" s="62">
        <f t="shared" si="5"/>
        <v>328.19</v>
      </c>
      <c r="AD42" s="62" t="s">
        <v>254</v>
      </c>
      <c r="AE42" s="64"/>
      <c r="AF42" s="65"/>
      <c r="AG42" s="20" t="s">
        <v>59</v>
      </c>
      <c r="AH42" s="29" t="s">
        <v>257</v>
      </c>
      <c r="AI42" s="30">
        <v>45331</v>
      </c>
    </row>
    <row r="43" spans="1:35" x14ac:dyDescent="0.25">
      <c r="A43" s="66">
        <v>45020</v>
      </c>
      <c r="B43" s="13" t="s">
        <v>258</v>
      </c>
      <c r="C43" s="31" t="s">
        <v>259</v>
      </c>
      <c r="D43" s="17" t="s">
        <v>260</v>
      </c>
      <c r="E43" s="16">
        <v>45034</v>
      </c>
      <c r="F43" s="17" t="s">
        <v>261</v>
      </c>
      <c r="G43" s="18" t="s">
        <v>262</v>
      </c>
      <c r="H43" s="19">
        <v>1</v>
      </c>
      <c r="I43" s="17" t="s">
        <v>263</v>
      </c>
      <c r="J43" s="20">
        <v>56.44</v>
      </c>
      <c r="K43" s="58">
        <v>994027</v>
      </c>
      <c r="L43" s="59"/>
      <c r="M43" s="59">
        <v>12</v>
      </c>
      <c r="N43" s="59">
        <v>10</v>
      </c>
      <c r="O43" s="60">
        <f t="shared" si="8"/>
        <v>120</v>
      </c>
      <c r="P43" s="59" t="s">
        <v>154</v>
      </c>
      <c r="Q43" s="59" t="s">
        <v>155</v>
      </c>
      <c r="R43" s="61"/>
      <c r="S43" s="61"/>
      <c r="T43" s="61"/>
      <c r="U43" s="61"/>
      <c r="V43" s="61"/>
      <c r="W43" s="62">
        <v>0.5</v>
      </c>
      <c r="X43" s="63">
        <v>180</v>
      </c>
      <c r="Y43" s="62" t="str">
        <f t="shared" si="1"/>
        <v>RECELL</v>
      </c>
      <c r="Z43" s="62" t="str">
        <f t="shared" si="2"/>
        <v>10/KH-D10000</v>
      </c>
      <c r="AA43" s="63">
        <f t="shared" si="3"/>
        <v>0.5</v>
      </c>
      <c r="AB43" s="63">
        <f t="shared" si="7"/>
        <v>56.44</v>
      </c>
      <c r="AC43" s="62">
        <f t="shared" si="5"/>
        <v>180</v>
      </c>
      <c r="AD43" s="62" t="str">
        <f t="shared" ref="AD43:AD106" si="9">G43</f>
        <v>66000-988</v>
      </c>
      <c r="AE43" s="64"/>
      <c r="AF43" s="65"/>
      <c r="AG43" s="20" t="s">
        <v>13</v>
      </c>
      <c r="AH43" s="29">
        <v>23891</v>
      </c>
      <c r="AI43" s="30">
        <v>45329</v>
      </c>
    </row>
    <row r="44" spans="1:35" x14ac:dyDescent="0.25">
      <c r="A44" s="66">
        <v>45034</v>
      </c>
      <c r="B44" s="13" t="s">
        <v>264</v>
      </c>
      <c r="C44" s="31" t="s">
        <v>265</v>
      </c>
      <c r="D44" s="17" t="s">
        <v>266</v>
      </c>
      <c r="E44" s="16">
        <v>45049</v>
      </c>
      <c r="F44" s="17" t="s">
        <v>267</v>
      </c>
      <c r="G44" s="18" t="s">
        <v>268</v>
      </c>
      <c r="H44" s="19">
        <v>10</v>
      </c>
      <c r="I44" s="17" t="s">
        <v>269</v>
      </c>
      <c r="J44" s="20">
        <v>6.1</v>
      </c>
      <c r="K44" s="58">
        <v>995361</v>
      </c>
      <c r="L44" s="59"/>
      <c r="M44" s="59">
        <v>4</v>
      </c>
      <c r="N44" s="59"/>
      <c r="O44" s="60">
        <f t="shared" si="8"/>
        <v>0</v>
      </c>
      <c r="P44" s="59" t="s">
        <v>225</v>
      </c>
      <c r="Q44" s="59" t="s">
        <v>270</v>
      </c>
      <c r="R44" s="61"/>
      <c r="S44" s="61"/>
      <c r="T44" s="61"/>
      <c r="U44" s="61"/>
      <c r="V44" s="61"/>
      <c r="W44" s="62">
        <v>0.25</v>
      </c>
      <c r="X44" s="63">
        <v>34</v>
      </c>
      <c r="Y44" s="62" t="str">
        <f t="shared" si="1"/>
        <v>DH60b</v>
      </c>
      <c r="Z44" s="62" t="str">
        <f t="shared" si="2"/>
        <v>4/LR03</v>
      </c>
      <c r="AA44" s="63">
        <f t="shared" si="3"/>
        <v>0.25</v>
      </c>
      <c r="AB44" s="63">
        <f t="shared" si="7"/>
        <v>6.1</v>
      </c>
      <c r="AC44" s="62">
        <f t="shared" si="5"/>
        <v>34</v>
      </c>
      <c r="AD44" s="62" t="str">
        <f t="shared" si="9"/>
        <v>66003-104B</v>
      </c>
      <c r="AE44" s="64"/>
      <c r="AF44" s="65"/>
      <c r="AG44" s="20" t="s">
        <v>71</v>
      </c>
      <c r="AH44" s="29">
        <v>65959</v>
      </c>
      <c r="AI44" s="30">
        <v>45331</v>
      </c>
    </row>
    <row r="45" spans="1:35" x14ac:dyDescent="0.25">
      <c r="A45" s="56">
        <v>45050</v>
      </c>
      <c r="B45" s="57" t="s">
        <v>271</v>
      </c>
      <c r="C45" s="31" t="s">
        <v>265</v>
      </c>
      <c r="D45" s="17" t="s">
        <v>266</v>
      </c>
      <c r="E45" s="16">
        <v>45036</v>
      </c>
      <c r="F45" s="17" t="s">
        <v>267</v>
      </c>
      <c r="G45" s="18" t="s">
        <v>268</v>
      </c>
      <c r="H45" s="19">
        <v>5</v>
      </c>
      <c r="I45" s="17" t="s">
        <v>269</v>
      </c>
      <c r="J45" s="20">
        <v>6.29</v>
      </c>
      <c r="K45" s="58">
        <v>995361</v>
      </c>
      <c r="L45" s="59"/>
      <c r="M45" s="59">
        <v>6</v>
      </c>
      <c r="N45" s="59"/>
      <c r="O45" s="60">
        <f t="shared" si="8"/>
        <v>0</v>
      </c>
      <c r="P45" s="59" t="s">
        <v>225</v>
      </c>
      <c r="Q45" s="59" t="s">
        <v>270</v>
      </c>
      <c r="R45" s="61"/>
      <c r="S45" s="61"/>
      <c r="T45" s="61"/>
      <c r="U45" s="61"/>
      <c r="V45" s="61"/>
      <c r="W45" s="62">
        <v>0.25</v>
      </c>
      <c r="X45" s="63">
        <v>34</v>
      </c>
      <c r="Y45" s="62" t="str">
        <f t="shared" si="1"/>
        <v>DH60b</v>
      </c>
      <c r="Z45" s="62" t="str">
        <f t="shared" si="2"/>
        <v>4/LR03</v>
      </c>
      <c r="AA45" s="63">
        <f t="shared" si="3"/>
        <v>0.25</v>
      </c>
      <c r="AB45" s="63">
        <f t="shared" si="7"/>
        <v>6.29</v>
      </c>
      <c r="AC45" s="62">
        <f t="shared" si="5"/>
        <v>34</v>
      </c>
      <c r="AD45" s="62" t="str">
        <f t="shared" si="9"/>
        <v>66003-104B</v>
      </c>
      <c r="AE45" s="64"/>
      <c r="AF45" s="65"/>
      <c r="AG45" s="20" t="s">
        <v>71</v>
      </c>
      <c r="AH45" s="29">
        <v>65959</v>
      </c>
      <c r="AI45" s="30">
        <v>45335</v>
      </c>
    </row>
    <row r="46" spans="1:35" x14ac:dyDescent="0.25">
      <c r="A46" s="56">
        <v>45057</v>
      </c>
      <c r="B46" s="57" t="s">
        <v>272</v>
      </c>
      <c r="C46" s="31" t="s">
        <v>273</v>
      </c>
      <c r="D46" s="17" t="s">
        <v>274</v>
      </c>
      <c r="E46" s="16">
        <v>45076</v>
      </c>
      <c r="F46" s="17" t="s">
        <v>275</v>
      </c>
      <c r="G46" s="18" t="s">
        <v>276</v>
      </c>
      <c r="H46" s="19">
        <v>1</v>
      </c>
      <c r="I46" s="17" t="s">
        <v>277</v>
      </c>
      <c r="J46" s="20">
        <v>0</v>
      </c>
      <c r="K46" s="58">
        <v>997993</v>
      </c>
      <c r="L46" s="59"/>
      <c r="M46" s="59">
        <v>10.8</v>
      </c>
      <c r="N46" s="59">
        <v>9</v>
      </c>
      <c r="O46" s="60">
        <f t="shared" si="8"/>
        <v>97.2</v>
      </c>
      <c r="P46" s="59" t="s">
        <v>139</v>
      </c>
      <c r="Q46" s="59" t="s">
        <v>278</v>
      </c>
      <c r="R46" s="61"/>
      <c r="S46" s="61"/>
      <c r="T46" s="61"/>
      <c r="U46" s="61"/>
      <c r="V46" s="61"/>
      <c r="W46" s="62">
        <v>0.5</v>
      </c>
      <c r="X46" s="63">
        <v>41.5</v>
      </c>
      <c r="Y46" s="62" t="str">
        <f t="shared" si="1"/>
        <v>RL1702</v>
      </c>
      <c r="Z46" s="62" t="str">
        <f t="shared" si="2"/>
        <v>6/LIION POLYMER</v>
      </c>
      <c r="AA46" s="63">
        <f t="shared" si="3"/>
        <v>0.5</v>
      </c>
      <c r="AB46" s="63">
        <f t="shared" si="7"/>
        <v>0</v>
      </c>
      <c r="AC46" s="62">
        <f t="shared" si="5"/>
        <v>41.5</v>
      </c>
      <c r="AD46" s="62" t="str">
        <f t="shared" si="9"/>
        <v>67001-946</v>
      </c>
      <c r="AE46" s="64"/>
      <c r="AF46" s="65"/>
      <c r="AG46" s="20" t="s">
        <v>43</v>
      </c>
      <c r="AH46" s="29">
        <v>2877</v>
      </c>
      <c r="AI46" s="30">
        <v>45342</v>
      </c>
    </row>
    <row r="47" spans="1:35" x14ac:dyDescent="0.25">
      <c r="A47" s="56">
        <v>45057</v>
      </c>
      <c r="B47" s="57" t="s">
        <v>279</v>
      </c>
      <c r="C47" s="31" t="s">
        <v>273</v>
      </c>
      <c r="D47" s="17" t="s">
        <v>274</v>
      </c>
      <c r="E47" s="16">
        <v>45076</v>
      </c>
      <c r="F47" s="17" t="s">
        <v>275</v>
      </c>
      <c r="G47" s="18" t="s">
        <v>276</v>
      </c>
      <c r="H47" s="19">
        <v>44</v>
      </c>
      <c r="I47" s="17" t="s">
        <v>277</v>
      </c>
      <c r="J47" s="20">
        <v>0</v>
      </c>
      <c r="K47" s="58">
        <v>997993</v>
      </c>
      <c r="L47" s="59"/>
      <c r="M47" s="59">
        <v>10.8</v>
      </c>
      <c r="N47" s="59">
        <v>9</v>
      </c>
      <c r="O47" s="60">
        <f t="shared" si="8"/>
        <v>97.2</v>
      </c>
      <c r="P47" s="59" t="s">
        <v>139</v>
      </c>
      <c r="Q47" s="59" t="s">
        <v>278</v>
      </c>
      <c r="R47" s="61"/>
      <c r="S47" s="61"/>
      <c r="T47" s="61"/>
      <c r="U47" s="61"/>
      <c r="V47" s="61"/>
      <c r="W47" s="62">
        <v>0.5</v>
      </c>
      <c r="X47" s="63">
        <v>41.5</v>
      </c>
      <c r="Y47" s="62" t="str">
        <f t="shared" si="1"/>
        <v>RL1702</v>
      </c>
      <c r="Z47" s="62" t="str">
        <f t="shared" si="2"/>
        <v>6/LIION POLYMER</v>
      </c>
      <c r="AA47" s="63">
        <f t="shared" si="3"/>
        <v>0.5</v>
      </c>
      <c r="AB47" s="63">
        <f t="shared" si="7"/>
        <v>0</v>
      </c>
      <c r="AC47" s="62">
        <f t="shared" si="5"/>
        <v>41.5</v>
      </c>
      <c r="AD47" s="62" t="str">
        <f t="shared" si="9"/>
        <v>67001-946</v>
      </c>
      <c r="AE47" s="64"/>
      <c r="AF47" s="65"/>
      <c r="AG47" s="20" t="s">
        <v>43</v>
      </c>
      <c r="AH47" s="29">
        <v>2877</v>
      </c>
      <c r="AI47" s="30">
        <v>45339</v>
      </c>
    </row>
    <row r="48" spans="1:35" x14ac:dyDescent="0.25">
      <c r="A48" s="72">
        <v>45058</v>
      </c>
      <c r="B48" s="73" t="s">
        <v>280</v>
      </c>
      <c r="C48" s="31" t="s">
        <v>281</v>
      </c>
      <c r="D48" s="17" t="s">
        <v>282</v>
      </c>
      <c r="E48" s="16">
        <v>45075</v>
      </c>
      <c r="F48" s="17" t="s">
        <v>283</v>
      </c>
      <c r="G48" s="18" t="s">
        <v>284</v>
      </c>
      <c r="H48" s="19">
        <v>2</v>
      </c>
      <c r="I48" s="17" t="s">
        <v>285</v>
      </c>
      <c r="J48" s="20">
        <v>78.47</v>
      </c>
      <c r="K48" s="58">
        <v>998441</v>
      </c>
      <c r="L48" s="59"/>
      <c r="M48" s="59">
        <v>12</v>
      </c>
      <c r="N48" s="59">
        <v>5</v>
      </c>
      <c r="O48" s="60">
        <f t="shared" si="8"/>
        <v>60</v>
      </c>
      <c r="P48" s="59" t="s">
        <v>286</v>
      </c>
      <c r="Q48" s="59" t="s">
        <v>287</v>
      </c>
      <c r="R48" s="61"/>
      <c r="S48" s="61"/>
      <c r="T48" s="61"/>
      <c r="U48" s="61"/>
      <c r="V48" s="61"/>
      <c r="W48" s="62">
        <v>2.2799999999999998</v>
      </c>
      <c r="X48" s="63">
        <v>153.30000000000001</v>
      </c>
      <c r="Y48" s="62" t="str">
        <f t="shared" si="1"/>
        <v>S124</v>
      </c>
      <c r="Z48" s="62" t="str">
        <f t="shared" si="2"/>
        <v>6/12SB25WHR</v>
      </c>
      <c r="AA48" s="63">
        <f t="shared" si="3"/>
        <v>2.2799999999999998</v>
      </c>
      <c r="AB48" s="63">
        <f t="shared" si="7"/>
        <v>78.47</v>
      </c>
      <c r="AC48" s="62">
        <f t="shared" si="5"/>
        <v>153.30000000000001</v>
      </c>
      <c r="AD48" s="62" t="str">
        <f t="shared" si="9"/>
        <v>66002-950</v>
      </c>
      <c r="AE48" s="64"/>
      <c r="AF48" s="65"/>
      <c r="AG48" s="20" t="s">
        <v>71</v>
      </c>
      <c r="AH48" s="29">
        <v>2420</v>
      </c>
      <c r="AI48" s="30">
        <v>45210</v>
      </c>
    </row>
    <row r="49" spans="1:35" x14ac:dyDescent="0.25">
      <c r="A49" s="66">
        <v>45076</v>
      </c>
      <c r="B49" s="13" t="s">
        <v>288</v>
      </c>
      <c r="C49" s="31" t="s">
        <v>289</v>
      </c>
      <c r="D49" s="17" t="s">
        <v>290</v>
      </c>
      <c r="E49" s="16">
        <v>45097</v>
      </c>
      <c r="F49" s="17" t="s">
        <v>291</v>
      </c>
      <c r="G49" s="18" t="s">
        <v>292</v>
      </c>
      <c r="H49" s="19">
        <v>200</v>
      </c>
      <c r="I49" s="17" t="s">
        <v>293</v>
      </c>
      <c r="J49" s="20">
        <v>4.5</v>
      </c>
      <c r="K49" s="58">
        <v>1000456</v>
      </c>
      <c r="L49" s="59"/>
      <c r="M49" s="59">
        <v>3.7</v>
      </c>
      <c r="N49" s="59">
        <v>1.1499999999999999</v>
      </c>
      <c r="O49" s="60">
        <f t="shared" si="8"/>
        <v>4.2549999999999999</v>
      </c>
      <c r="P49" s="62" t="s">
        <v>139</v>
      </c>
      <c r="Q49" s="59" t="s">
        <v>42</v>
      </c>
      <c r="R49" s="61"/>
      <c r="S49" s="61"/>
      <c r="T49" s="61"/>
      <c r="U49" s="61"/>
      <c r="V49" s="61"/>
      <c r="W49" s="62">
        <v>0.05</v>
      </c>
      <c r="X49" s="63">
        <v>12.5</v>
      </c>
      <c r="Y49" s="62" t="str">
        <f t="shared" si="1"/>
        <v>TAG63</v>
      </c>
      <c r="Z49" s="62" t="str">
        <f t="shared" si="2"/>
        <v>1/UF553450Z</v>
      </c>
      <c r="AA49" s="63">
        <f t="shared" si="3"/>
        <v>0.05</v>
      </c>
      <c r="AB49" s="63">
        <f t="shared" si="7"/>
        <v>4.5</v>
      </c>
      <c r="AC49" s="62">
        <f t="shared" si="5"/>
        <v>12.5</v>
      </c>
      <c r="AD49" s="62" t="str">
        <f t="shared" si="9"/>
        <v>67001-199</v>
      </c>
      <c r="AE49" s="64"/>
      <c r="AF49" s="65"/>
      <c r="AG49" s="20" t="s">
        <v>71</v>
      </c>
      <c r="AH49" s="29">
        <v>66586</v>
      </c>
      <c r="AI49" s="30">
        <v>45338</v>
      </c>
    </row>
    <row r="50" spans="1:35" x14ac:dyDescent="0.25">
      <c r="A50" s="67">
        <v>45077</v>
      </c>
      <c r="B50" s="39" t="s">
        <v>294</v>
      </c>
      <c r="C50" s="40" t="s">
        <v>295</v>
      </c>
      <c r="D50" s="41" t="s">
        <v>296</v>
      </c>
      <c r="E50" s="42">
        <v>45083</v>
      </c>
      <c r="F50" s="41" t="s">
        <v>297</v>
      </c>
      <c r="G50" s="43" t="s">
        <v>298</v>
      </c>
      <c r="H50" s="44">
        <v>4</v>
      </c>
      <c r="I50" s="41" t="s">
        <v>299</v>
      </c>
      <c r="J50" s="45">
        <v>4.5</v>
      </c>
      <c r="K50" s="58">
        <v>1000513</v>
      </c>
      <c r="L50" s="59"/>
      <c r="M50" s="59">
        <v>2.4</v>
      </c>
      <c r="N50" s="59">
        <v>1.7</v>
      </c>
      <c r="O50" s="60">
        <f t="shared" si="8"/>
        <v>4.08</v>
      </c>
      <c r="P50" s="59" t="s">
        <v>154</v>
      </c>
      <c r="Q50" s="59" t="s">
        <v>183</v>
      </c>
      <c r="R50" s="61"/>
      <c r="S50" s="61"/>
      <c r="T50" s="61"/>
      <c r="U50" s="61"/>
      <c r="V50" s="61"/>
      <c r="W50" s="62">
        <v>0.32</v>
      </c>
      <c r="X50" s="63">
        <v>30</v>
      </c>
      <c r="Y50" s="62" t="str">
        <f t="shared" si="1"/>
        <v>PACK491</v>
      </c>
      <c r="Z50" s="62" t="str">
        <f t="shared" si="2"/>
        <v xml:space="preserve">2/AA1700 </v>
      </c>
      <c r="AA50" s="63">
        <f t="shared" si="3"/>
        <v>0.32</v>
      </c>
      <c r="AB50" s="63">
        <f t="shared" si="7"/>
        <v>4.5</v>
      </c>
      <c r="AC50" s="62">
        <f t="shared" si="5"/>
        <v>30</v>
      </c>
      <c r="AD50" s="62" t="str">
        <f t="shared" si="9"/>
        <v>66002-188</v>
      </c>
      <c r="AE50" s="64"/>
      <c r="AF50" s="65"/>
      <c r="AG50" s="20" t="s">
        <v>59</v>
      </c>
      <c r="AH50" s="29">
        <v>1715</v>
      </c>
      <c r="AI50" s="30">
        <v>45337</v>
      </c>
    </row>
    <row r="51" spans="1:35" x14ac:dyDescent="0.25">
      <c r="A51" s="56">
        <v>45078</v>
      </c>
      <c r="B51" s="57" t="s">
        <v>300</v>
      </c>
      <c r="C51" s="31" t="s">
        <v>301</v>
      </c>
      <c r="D51" s="17" t="s">
        <v>302</v>
      </c>
      <c r="E51" s="16">
        <v>45077</v>
      </c>
      <c r="F51" s="17" t="s">
        <v>303</v>
      </c>
      <c r="G51" s="18" t="s">
        <v>304</v>
      </c>
      <c r="H51" s="19">
        <v>2</v>
      </c>
      <c r="I51" s="17" t="s">
        <v>305</v>
      </c>
      <c r="J51" s="20">
        <v>103.6</v>
      </c>
      <c r="K51" s="58">
        <v>1000685</v>
      </c>
      <c r="L51" s="59" t="s">
        <v>306</v>
      </c>
      <c r="M51" s="59">
        <v>18</v>
      </c>
      <c r="N51" s="59">
        <v>5.8</v>
      </c>
      <c r="O51" s="60">
        <f t="shared" si="8"/>
        <v>104.39999999999999</v>
      </c>
      <c r="P51" s="59" t="s">
        <v>307</v>
      </c>
      <c r="Q51" s="59" t="s">
        <v>308</v>
      </c>
      <c r="R51" s="61"/>
      <c r="S51" s="61"/>
      <c r="T51" s="61"/>
      <c r="U51" s="61"/>
      <c r="V51" s="61"/>
      <c r="W51" s="62">
        <v>1</v>
      </c>
      <c r="X51" s="63">
        <v>395</v>
      </c>
      <c r="Y51" s="62" t="str">
        <f t="shared" si="1"/>
        <v>DH33D</v>
      </c>
      <c r="Z51" s="62" t="str">
        <f t="shared" si="2"/>
        <v xml:space="preserve"> 5/LSH14</v>
      </c>
      <c r="AA51" s="63">
        <f t="shared" si="3"/>
        <v>1</v>
      </c>
      <c r="AB51" s="63">
        <f t="shared" si="7"/>
        <v>103.6</v>
      </c>
      <c r="AC51" s="62">
        <f t="shared" si="5"/>
        <v>395</v>
      </c>
      <c r="AD51" s="62" t="str">
        <f t="shared" si="9"/>
        <v>66000-7984</v>
      </c>
      <c r="AE51" s="64"/>
      <c r="AF51" s="65"/>
      <c r="AG51" s="20" t="s">
        <v>43</v>
      </c>
      <c r="AH51" s="29">
        <v>65578</v>
      </c>
      <c r="AI51" s="30">
        <v>45342</v>
      </c>
    </row>
    <row r="52" spans="1:35" x14ac:dyDescent="0.25">
      <c r="A52" s="72">
        <v>45079</v>
      </c>
      <c r="B52" s="73" t="s">
        <v>309</v>
      </c>
      <c r="C52" s="31" t="s">
        <v>310</v>
      </c>
      <c r="D52" s="17" t="s">
        <v>311</v>
      </c>
      <c r="E52" s="16">
        <v>45079</v>
      </c>
      <c r="F52" s="17" t="s">
        <v>303</v>
      </c>
      <c r="G52" s="18" t="s">
        <v>312</v>
      </c>
      <c r="H52" s="19">
        <v>10</v>
      </c>
      <c r="I52" s="17" t="s">
        <v>313</v>
      </c>
      <c r="J52" s="20">
        <v>387.5</v>
      </c>
      <c r="K52" s="58">
        <v>1001067</v>
      </c>
      <c r="L52" s="59" t="s">
        <v>306</v>
      </c>
      <c r="M52" s="59">
        <v>19.5</v>
      </c>
      <c r="N52" s="59">
        <v>6.2</v>
      </c>
      <c r="O52" s="60">
        <f t="shared" si="8"/>
        <v>120.9</v>
      </c>
      <c r="P52" s="59" t="s">
        <v>314</v>
      </c>
      <c r="Q52" s="59" t="s">
        <v>308</v>
      </c>
      <c r="R52" s="61"/>
      <c r="S52" s="61"/>
      <c r="T52" s="61"/>
      <c r="U52" s="61"/>
      <c r="V52" s="61"/>
      <c r="W52" s="62">
        <v>2.46</v>
      </c>
      <c r="X52" s="63">
        <v>600</v>
      </c>
      <c r="Y52" s="62" t="str">
        <f t="shared" si="1"/>
        <v>DH33</v>
      </c>
      <c r="Z52" s="62" t="str">
        <f t="shared" si="2"/>
        <v>5/3B5100</v>
      </c>
      <c r="AA52" s="63">
        <f t="shared" si="3"/>
        <v>2.46</v>
      </c>
      <c r="AB52" s="63">
        <f t="shared" si="7"/>
        <v>387.5</v>
      </c>
      <c r="AC52" s="62">
        <f t="shared" si="5"/>
        <v>600</v>
      </c>
      <c r="AD52" s="62" t="str">
        <f t="shared" si="9"/>
        <v>66000-798</v>
      </c>
      <c r="AE52" s="64"/>
      <c r="AF52" s="65"/>
      <c r="AG52" s="20" t="s">
        <v>43</v>
      </c>
      <c r="AH52" s="29">
        <v>65578</v>
      </c>
      <c r="AI52" s="30">
        <v>45299</v>
      </c>
    </row>
    <row r="53" spans="1:35" x14ac:dyDescent="0.25">
      <c r="A53" s="72">
        <v>45079</v>
      </c>
      <c r="B53" s="73" t="s">
        <v>315</v>
      </c>
      <c r="C53" s="31" t="s">
        <v>316</v>
      </c>
      <c r="D53" s="17" t="s">
        <v>317</v>
      </c>
      <c r="E53" s="16">
        <v>45099</v>
      </c>
      <c r="F53" s="17" t="s">
        <v>318</v>
      </c>
      <c r="G53" s="18" t="s">
        <v>319</v>
      </c>
      <c r="H53" s="19">
        <v>1</v>
      </c>
      <c r="I53" s="17" t="s">
        <v>320</v>
      </c>
      <c r="J53" s="20">
        <v>124.15</v>
      </c>
      <c r="K53" s="58">
        <v>1000936</v>
      </c>
      <c r="L53" s="59"/>
      <c r="M53" s="59">
        <v>25.2</v>
      </c>
      <c r="N53" s="59">
        <v>13.8</v>
      </c>
      <c r="O53" s="60">
        <f t="shared" si="8"/>
        <v>347.76</v>
      </c>
      <c r="P53" s="59" t="s">
        <v>139</v>
      </c>
      <c r="Q53" s="59" t="s">
        <v>321</v>
      </c>
      <c r="R53" s="61"/>
      <c r="S53" s="61"/>
      <c r="T53" s="61"/>
      <c r="U53" s="61"/>
      <c r="V53" s="61"/>
      <c r="W53" s="62">
        <v>2.7</v>
      </c>
      <c r="X53" s="63">
        <v>800</v>
      </c>
      <c r="Y53" s="62" t="str">
        <f t="shared" si="1"/>
        <v>RECELL429</v>
      </c>
      <c r="Z53" s="62" t="str">
        <f t="shared" si="2"/>
        <v>28/NCR18650GA</v>
      </c>
      <c r="AA53" s="63">
        <f t="shared" si="3"/>
        <v>2.7</v>
      </c>
      <c r="AB53" s="63">
        <f t="shared" si="7"/>
        <v>124.15</v>
      </c>
      <c r="AC53" s="62">
        <f t="shared" si="5"/>
        <v>800</v>
      </c>
      <c r="AD53" s="62" t="str">
        <f t="shared" si="9"/>
        <v>66001-746</v>
      </c>
      <c r="AE53" s="64"/>
      <c r="AF53" s="65"/>
      <c r="AG53" s="20" t="s">
        <v>59</v>
      </c>
      <c r="AH53" s="29">
        <v>66373</v>
      </c>
      <c r="AI53" s="30">
        <v>45309</v>
      </c>
    </row>
    <row r="54" spans="1:35" x14ac:dyDescent="0.25">
      <c r="A54" s="66">
        <v>45083</v>
      </c>
      <c r="B54" s="13" t="s">
        <v>322</v>
      </c>
      <c r="C54" s="31" t="s">
        <v>323</v>
      </c>
      <c r="D54" s="17" t="s">
        <v>260</v>
      </c>
      <c r="E54" s="16">
        <v>45093</v>
      </c>
      <c r="F54" s="17" t="s">
        <v>164</v>
      </c>
      <c r="G54" s="18" t="s">
        <v>324</v>
      </c>
      <c r="H54" s="19">
        <v>1</v>
      </c>
      <c r="I54" s="17" t="s">
        <v>325</v>
      </c>
      <c r="J54" s="20">
        <v>7.51</v>
      </c>
      <c r="K54" s="58">
        <v>1001036</v>
      </c>
      <c r="L54" s="59"/>
      <c r="M54" s="59">
        <v>6</v>
      </c>
      <c r="N54" s="59">
        <v>2</v>
      </c>
      <c r="O54" s="60">
        <f t="shared" si="8"/>
        <v>12</v>
      </c>
      <c r="P54" s="59" t="s">
        <v>326</v>
      </c>
      <c r="Q54" s="59" t="s">
        <v>308</v>
      </c>
      <c r="R54" s="61"/>
      <c r="S54" s="61"/>
      <c r="T54" s="61"/>
      <c r="U54" s="61"/>
      <c r="V54" s="61"/>
      <c r="W54" s="62">
        <v>1</v>
      </c>
      <c r="X54" s="63">
        <v>45</v>
      </c>
      <c r="Y54" s="62" t="str">
        <f t="shared" si="1"/>
        <v>RECELL</v>
      </c>
      <c r="Z54" s="62" t="str">
        <f t="shared" si="2"/>
        <v>5/NC-C2000HT</v>
      </c>
      <c r="AA54" s="63">
        <f t="shared" si="3"/>
        <v>1</v>
      </c>
      <c r="AB54" s="63">
        <f t="shared" si="7"/>
        <v>7.51</v>
      </c>
      <c r="AC54" s="62">
        <f t="shared" si="5"/>
        <v>45</v>
      </c>
      <c r="AD54" s="62" t="str">
        <f t="shared" si="9"/>
        <v>66003-168</v>
      </c>
      <c r="AE54" s="64"/>
      <c r="AF54" s="65"/>
      <c r="AG54" s="20" t="s">
        <v>59</v>
      </c>
      <c r="AH54" s="29" t="s">
        <v>166</v>
      </c>
      <c r="AI54" s="30">
        <v>45321</v>
      </c>
    </row>
    <row r="55" spans="1:35" x14ac:dyDescent="0.25">
      <c r="A55" s="66">
        <v>45083</v>
      </c>
      <c r="B55" s="13" t="s">
        <v>327</v>
      </c>
      <c r="C55" s="31" t="s">
        <v>328</v>
      </c>
      <c r="D55" s="17" t="s">
        <v>260</v>
      </c>
      <c r="E55" s="16">
        <v>45093</v>
      </c>
      <c r="F55" s="17" t="s">
        <v>164</v>
      </c>
      <c r="G55" s="18" t="s">
        <v>329</v>
      </c>
      <c r="H55" s="19">
        <v>1</v>
      </c>
      <c r="I55" s="17" t="s">
        <v>330</v>
      </c>
      <c r="J55" s="20">
        <v>9.98</v>
      </c>
      <c r="K55" s="58">
        <v>1001036</v>
      </c>
      <c r="L55" s="59"/>
      <c r="M55" s="59">
        <v>6</v>
      </c>
      <c r="N55" s="59">
        <v>2</v>
      </c>
      <c r="O55" s="60">
        <f t="shared" si="8"/>
        <v>12</v>
      </c>
      <c r="P55" s="59" t="s">
        <v>326</v>
      </c>
      <c r="Q55" s="59" t="s">
        <v>331</v>
      </c>
      <c r="R55" s="61"/>
      <c r="S55" s="61"/>
      <c r="T55" s="61"/>
      <c r="U55" s="61"/>
      <c r="V55" s="61"/>
      <c r="W55" s="62">
        <v>2</v>
      </c>
      <c r="X55" s="63">
        <v>70</v>
      </c>
      <c r="Y55" s="62" t="str">
        <f t="shared" si="1"/>
        <v>RECELL</v>
      </c>
      <c r="Z55" s="62" t="str">
        <f t="shared" si="2"/>
        <v xml:space="preserve">10/IF1000AA </v>
      </c>
      <c r="AA55" s="63">
        <f t="shared" si="3"/>
        <v>2</v>
      </c>
      <c r="AB55" s="63">
        <f t="shared" si="7"/>
        <v>9.98</v>
      </c>
      <c r="AC55" s="62">
        <f t="shared" si="5"/>
        <v>70</v>
      </c>
      <c r="AD55" s="62" t="str">
        <f t="shared" si="9"/>
        <v>66003-169</v>
      </c>
      <c r="AE55" s="64"/>
      <c r="AF55" s="65"/>
      <c r="AG55" s="20" t="s">
        <v>59</v>
      </c>
      <c r="AH55" s="29" t="s">
        <v>166</v>
      </c>
      <c r="AI55" s="30">
        <v>45324</v>
      </c>
    </row>
    <row r="56" spans="1:35" x14ac:dyDescent="0.25">
      <c r="A56" s="72">
        <v>45086</v>
      </c>
      <c r="B56" s="73" t="s">
        <v>332</v>
      </c>
      <c r="C56" s="31"/>
      <c r="D56" s="17" t="s">
        <v>333</v>
      </c>
      <c r="E56" s="16">
        <v>45100</v>
      </c>
      <c r="F56" s="17" t="s">
        <v>334</v>
      </c>
      <c r="G56" s="18" t="s">
        <v>335</v>
      </c>
      <c r="H56" s="19">
        <v>28</v>
      </c>
      <c r="I56" s="17" t="s">
        <v>336</v>
      </c>
      <c r="J56" s="20">
        <v>1.55</v>
      </c>
      <c r="K56" s="58">
        <v>1001712</v>
      </c>
      <c r="L56" s="59"/>
      <c r="M56" s="59"/>
      <c r="N56" s="59"/>
      <c r="O56" s="60">
        <f t="shared" si="8"/>
        <v>0</v>
      </c>
      <c r="P56" s="59"/>
      <c r="Q56" s="59"/>
      <c r="R56" s="61"/>
      <c r="S56" s="61"/>
      <c r="T56" s="61"/>
      <c r="U56" s="61"/>
      <c r="V56" s="61"/>
      <c r="W56" s="62">
        <v>0.3</v>
      </c>
      <c r="X56" s="63">
        <v>12</v>
      </c>
      <c r="Y56" s="62" t="str">
        <f t="shared" si="1"/>
        <v>CA67</v>
      </c>
      <c r="Z56" s="62">
        <f t="shared" si="2"/>
        <v>0</v>
      </c>
      <c r="AA56" s="63">
        <f t="shared" si="3"/>
        <v>0.3</v>
      </c>
      <c r="AB56" s="63">
        <f t="shared" si="7"/>
        <v>1.55</v>
      </c>
      <c r="AC56" s="62">
        <f t="shared" si="5"/>
        <v>12</v>
      </c>
      <c r="AD56" s="62" t="str">
        <f t="shared" si="9"/>
        <v>66000-714</v>
      </c>
      <c r="AE56" s="64"/>
      <c r="AF56" s="65"/>
      <c r="AG56" s="20" t="s">
        <v>108</v>
      </c>
      <c r="AH56" s="29">
        <v>66824</v>
      </c>
      <c r="AI56" s="30">
        <v>45343</v>
      </c>
    </row>
    <row r="57" spans="1:35" x14ac:dyDescent="0.25">
      <c r="A57" s="56">
        <v>45106</v>
      </c>
      <c r="B57" s="57" t="s">
        <v>337</v>
      </c>
      <c r="C57" s="31" t="s">
        <v>338</v>
      </c>
      <c r="D57" s="17" t="s">
        <v>339</v>
      </c>
      <c r="E57" s="16">
        <v>45105</v>
      </c>
      <c r="F57" s="17" t="s">
        <v>46</v>
      </c>
      <c r="G57" s="18" t="s">
        <v>340</v>
      </c>
      <c r="H57" s="19">
        <v>1</v>
      </c>
      <c r="I57" s="17" t="s">
        <v>213</v>
      </c>
      <c r="J57" s="20">
        <v>37.81</v>
      </c>
      <c r="K57" s="58">
        <v>1004165</v>
      </c>
      <c r="L57" s="59"/>
      <c r="M57" s="59"/>
      <c r="N57" s="59"/>
      <c r="O57" s="60">
        <f t="shared" si="8"/>
        <v>0</v>
      </c>
      <c r="P57" s="59"/>
      <c r="Q57" s="59"/>
      <c r="R57" s="61"/>
      <c r="S57" s="61"/>
      <c r="T57" s="61"/>
      <c r="U57" s="61"/>
      <c r="V57" s="61"/>
      <c r="W57" s="62">
        <v>0.25</v>
      </c>
      <c r="X57" s="63">
        <v>120</v>
      </c>
      <c r="Y57" s="62" t="str">
        <f t="shared" si="1"/>
        <v>CH638</v>
      </c>
      <c r="Z57" s="62" t="str">
        <f t="shared" si="2"/>
        <v>1/TSB-003</v>
      </c>
      <c r="AA57" s="63">
        <f t="shared" si="3"/>
        <v>0.25</v>
      </c>
      <c r="AB57" s="63">
        <f t="shared" si="7"/>
        <v>37.81</v>
      </c>
      <c r="AC57" s="62">
        <f t="shared" si="5"/>
        <v>120</v>
      </c>
      <c r="AD57" s="62" t="str">
        <f t="shared" si="9"/>
        <v>66003-171</v>
      </c>
      <c r="AE57" s="64"/>
      <c r="AF57" s="65"/>
      <c r="AG57" s="20" t="s">
        <v>43</v>
      </c>
      <c r="AH57" s="29">
        <v>65551</v>
      </c>
      <c r="AI57" s="30">
        <v>45322</v>
      </c>
    </row>
    <row r="58" spans="1:35" x14ac:dyDescent="0.25">
      <c r="A58" s="72">
        <v>45107</v>
      </c>
      <c r="B58" s="73" t="s">
        <v>341</v>
      </c>
      <c r="C58" s="31" t="s">
        <v>342</v>
      </c>
      <c r="D58" s="17" t="s">
        <v>343</v>
      </c>
      <c r="E58" s="16">
        <v>45132</v>
      </c>
      <c r="F58" s="17" t="s">
        <v>344</v>
      </c>
      <c r="G58" s="18" t="s">
        <v>345</v>
      </c>
      <c r="H58" s="19">
        <v>10</v>
      </c>
      <c r="I58" s="17" t="s">
        <v>320</v>
      </c>
      <c r="J58" s="20">
        <v>249.74</v>
      </c>
      <c r="K58" s="58">
        <v>1003908</v>
      </c>
      <c r="L58" s="59"/>
      <c r="M58" s="59">
        <v>3.6</v>
      </c>
      <c r="N58" s="59">
        <v>131.1</v>
      </c>
      <c r="O58" s="60">
        <f t="shared" si="8"/>
        <v>471.96</v>
      </c>
      <c r="P58" s="59" t="s">
        <v>139</v>
      </c>
      <c r="Q58" s="59" t="s">
        <v>346</v>
      </c>
      <c r="R58" s="61"/>
      <c r="S58" s="61"/>
      <c r="T58" s="61"/>
      <c r="U58" s="61"/>
      <c r="V58" s="61"/>
      <c r="W58" s="62">
        <v>0.5</v>
      </c>
      <c r="X58" s="63">
        <v>720</v>
      </c>
      <c r="Y58" s="62" t="str">
        <f t="shared" si="1"/>
        <v>RL1539</v>
      </c>
      <c r="Z58" s="62" t="str">
        <f t="shared" si="2"/>
        <v>38/NCR18650GA</v>
      </c>
      <c r="AA58" s="63">
        <f t="shared" si="3"/>
        <v>0.5</v>
      </c>
      <c r="AB58" s="63">
        <f t="shared" si="7"/>
        <v>249.74</v>
      </c>
      <c r="AC58" s="62">
        <f t="shared" si="5"/>
        <v>720</v>
      </c>
      <c r="AD58" s="62" t="str">
        <f t="shared" si="9"/>
        <v>67001-876</v>
      </c>
      <c r="AE58" s="64"/>
      <c r="AF58" s="65"/>
      <c r="AG58" s="20" t="s">
        <v>43</v>
      </c>
      <c r="AH58" s="29">
        <v>2486</v>
      </c>
      <c r="AI58" s="17"/>
    </row>
    <row r="59" spans="1:35" x14ac:dyDescent="0.25">
      <c r="A59" s="67">
        <v>45119</v>
      </c>
      <c r="B59" s="39" t="s">
        <v>347</v>
      </c>
      <c r="C59" s="31"/>
      <c r="D59" s="17" t="s">
        <v>333</v>
      </c>
      <c r="E59" s="16">
        <v>45111</v>
      </c>
      <c r="F59" s="17" t="s">
        <v>334</v>
      </c>
      <c r="G59" s="18" t="s">
        <v>335</v>
      </c>
      <c r="H59" s="19">
        <v>30</v>
      </c>
      <c r="I59" s="17" t="s">
        <v>336</v>
      </c>
      <c r="J59" s="20">
        <v>1.6</v>
      </c>
      <c r="K59" s="58">
        <v>1004670</v>
      </c>
      <c r="L59" s="59"/>
      <c r="M59" s="59"/>
      <c r="N59" s="59"/>
      <c r="O59" s="60">
        <f t="shared" si="8"/>
        <v>0</v>
      </c>
      <c r="P59" s="59"/>
      <c r="Q59" s="59"/>
      <c r="R59" s="61"/>
      <c r="S59" s="61"/>
      <c r="T59" s="61"/>
      <c r="U59" s="61"/>
      <c r="V59" s="61"/>
      <c r="W59" s="62">
        <v>0.3</v>
      </c>
      <c r="X59" s="63">
        <v>12</v>
      </c>
      <c r="Y59" s="62" t="str">
        <f t="shared" si="1"/>
        <v>CA67</v>
      </c>
      <c r="Z59" s="62">
        <f t="shared" si="2"/>
        <v>0</v>
      </c>
      <c r="AA59" s="63">
        <f t="shared" si="3"/>
        <v>0.3</v>
      </c>
      <c r="AB59" s="63">
        <f t="shared" si="7"/>
        <v>1.6</v>
      </c>
      <c r="AC59" s="62">
        <f t="shared" si="5"/>
        <v>12</v>
      </c>
      <c r="AD59" s="62" t="str">
        <f t="shared" si="9"/>
        <v>66000-714</v>
      </c>
      <c r="AE59" s="64"/>
      <c r="AF59" s="65"/>
      <c r="AG59" s="20" t="s">
        <v>108</v>
      </c>
      <c r="AH59" s="29">
        <v>66824</v>
      </c>
      <c r="AI59" s="17"/>
    </row>
    <row r="60" spans="1:35" x14ac:dyDescent="0.25">
      <c r="A60" s="66">
        <v>45125</v>
      </c>
      <c r="B60" s="13" t="s">
        <v>348</v>
      </c>
      <c r="C60" s="31" t="s">
        <v>349</v>
      </c>
      <c r="D60" s="17" t="s">
        <v>350</v>
      </c>
      <c r="E60" s="16">
        <v>45138</v>
      </c>
      <c r="F60" s="17" t="s">
        <v>230</v>
      </c>
      <c r="G60" s="18" t="s">
        <v>351</v>
      </c>
      <c r="H60" s="19">
        <v>1</v>
      </c>
      <c r="I60" s="17" t="s">
        <v>352</v>
      </c>
      <c r="J60" s="20">
        <v>8.42</v>
      </c>
      <c r="K60" s="58">
        <v>1006365</v>
      </c>
      <c r="L60" s="59"/>
      <c r="M60" s="59">
        <v>3.7</v>
      </c>
      <c r="N60" s="59">
        <v>5.2</v>
      </c>
      <c r="O60" s="60">
        <f t="shared" si="8"/>
        <v>19.240000000000002</v>
      </c>
      <c r="P60" s="59" t="s">
        <v>139</v>
      </c>
      <c r="Q60" s="59" t="s">
        <v>131</v>
      </c>
      <c r="R60" s="61"/>
      <c r="S60" s="61"/>
      <c r="T60" s="61"/>
      <c r="U60" s="61"/>
      <c r="V60" s="61"/>
      <c r="W60" s="62">
        <v>0.56000000000000005</v>
      </c>
      <c r="X60" s="63">
        <v>40</v>
      </c>
      <c r="Y60" s="62" t="str">
        <f t="shared" si="1"/>
        <v>RL261A</v>
      </c>
      <c r="Z60" s="62" t="str">
        <f t="shared" si="2"/>
        <v>2/UR18650ZY</v>
      </c>
      <c r="AA60" s="63">
        <f t="shared" si="3"/>
        <v>0.56000000000000005</v>
      </c>
      <c r="AB60" s="63">
        <f t="shared" si="7"/>
        <v>8.42</v>
      </c>
      <c r="AC60" s="62">
        <f t="shared" si="5"/>
        <v>40</v>
      </c>
      <c r="AD60" s="62" t="str">
        <f t="shared" si="9"/>
        <v>66000-493</v>
      </c>
      <c r="AE60" s="64"/>
      <c r="AF60" s="65"/>
      <c r="AG60" s="20" t="s">
        <v>43</v>
      </c>
      <c r="AH60" s="29">
        <v>66116</v>
      </c>
      <c r="AI60" s="17"/>
    </row>
    <row r="61" spans="1:35" x14ac:dyDescent="0.25">
      <c r="A61" s="67">
        <v>45126</v>
      </c>
      <c r="B61" s="39" t="s">
        <v>353</v>
      </c>
      <c r="C61" s="31" t="s">
        <v>354</v>
      </c>
      <c r="D61" s="17" t="s">
        <v>355</v>
      </c>
      <c r="E61" s="16">
        <v>45145</v>
      </c>
      <c r="F61" s="17" t="s">
        <v>356</v>
      </c>
      <c r="G61" s="18" t="s">
        <v>357</v>
      </c>
      <c r="H61" s="19">
        <v>15</v>
      </c>
      <c r="I61" s="17" t="s">
        <v>358</v>
      </c>
      <c r="J61" s="20">
        <v>33.54</v>
      </c>
      <c r="K61" s="58">
        <v>1006325</v>
      </c>
      <c r="L61" s="59"/>
      <c r="M61" s="59">
        <v>13.5</v>
      </c>
      <c r="N61" s="59"/>
      <c r="O61" s="60">
        <f t="shared" si="8"/>
        <v>0</v>
      </c>
      <c r="P61" s="59" t="s">
        <v>225</v>
      </c>
      <c r="Q61" s="59" t="s">
        <v>359</v>
      </c>
      <c r="R61" s="61"/>
      <c r="S61" s="61"/>
      <c r="T61" s="61"/>
      <c r="U61" s="61"/>
      <c r="V61" s="61"/>
      <c r="W61" s="62">
        <v>1.47</v>
      </c>
      <c r="X61" s="63">
        <v>180</v>
      </c>
      <c r="Y61" s="62" t="str">
        <f t="shared" si="1"/>
        <v>AL123</v>
      </c>
      <c r="Z61" s="62" t="str">
        <f t="shared" si="2"/>
        <v>36/LR20XW</v>
      </c>
      <c r="AA61" s="63">
        <f t="shared" si="3"/>
        <v>1.47</v>
      </c>
      <c r="AB61" s="63">
        <f t="shared" si="7"/>
        <v>33.54</v>
      </c>
      <c r="AC61" s="62">
        <f t="shared" si="5"/>
        <v>180</v>
      </c>
      <c r="AD61" s="62" t="str">
        <f t="shared" si="9"/>
        <v>66000-180DEG</v>
      </c>
      <c r="AE61" s="64"/>
      <c r="AF61" s="65"/>
      <c r="AG61" s="20" t="s">
        <v>59</v>
      </c>
      <c r="AH61" s="29">
        <v>66552</v>
      </c>
      <c r="AI61" s="30">
        <v>45057</v>
      </c>
    </row>
    <row r="62" spans="1:35" x14ac:dyDescent="0.25">
      <c r="A62" s="67">
        <v>45126</v>
      </c>
      <c r="B62" s="39" t="s">
        <v>360</v>
      </c>
      <c r="C62" s="31" t="s">
        <v>361</v>
      </c>
      <c r="D62" s="17" t="s">
        <v>362</v>
      </c>
      <c r="E62" s="16">
        <v>45142</v>
      </c>
      <c r="F62" s="17" t="s">
        <v>363</v>
      </c>
      <c r="G62" s="18" t="s">
        <v>364</v>
      </c>
      <c r="H62" s="19">
        <v>10</v>
      </c>
      <c r="I62" s="17" t="s">
        <v>224</v>
      </c>
      <c r="J62" s="20">
        <v>11.59</v>
      </c>
      <c r="K62" s="58">
        <v>1006078</v>
      </c>
      <c r="L62" s="59"/>
      <c r="M62" s="59">
        <v>22.5</v>
      </c>
      <c r="N62" s="59"/>
      <c r="O62" s="60">
        <f t="shared" si="8"/>
        <v>0</v>
      </c>
      <c r="P62" s="59" t="s">
        <v>225</v>
      </c>
      <c r="Q62" s="59" t="s">
        <v>365</v>
      </c>
      <c r="R62" s="61"/>
      <c r="S62" s="61"/>
      <c r="T62" s="61"/>
      <c r="U62" s="61"/>
      <c r="V62" s="61"/>
      <c r="W62" s="62">
        <v>1.79</v>
      </c>
      <c r="X62" s="63">
        <v>137</v>
      </c>
      <c r="Y62" s="62" t="str">
        <f t="shared" si="1"/>
        <v>AL317</v>
      </c>
      <c r="Z62" s="62" t="str">
        <f t="shared" si="2"/>
        <v>45/LR6XW</v>
      </c>
      <c r="AA62" s="63">
        <f t="shared" si="3"/>
        <v>1.79</v>
      </c>
      <c r="AB62" s="63">
        <f t="shared" si="7"/>
        <v>11.59</v>
      </c>
      <c r="AC62" s="62">
        <f t="shared" si="5"/>
        <v>137</v>
      </c>
      <c r="AD62" s="62" t="str">
        <f t="shared" si="9"/>
        <v>66000-633</v>
      </c>
      <c r="AE62" s="64"/>
      <c r="AF62" s="65"/>
      <c r="AG62" s="20" t="s">
        <v>71</v>
      </c>
      <c r="AH62" s="29">
        <v>27233</v>
      </c>
      <c r="AI62" s="30">
        <v>45057</v>
      </c>
    </row>
    <row r="63" spans="1:35" x14ac:dyDescent="0.25">
      <c r="A63" s="56">
        <v>45127</v>
      </c>
      <c r="B63" s="57">
        <v>333714</v>
      </c>
      <c r="C63" s="31"/>
      <c r="D63" s="17" t="s">
        <v>366</v>
      </c>
      <c r="E63" s="16">
        <v>45134</v>
      </c>
      <c r="F63" s="17" t="s">
        <v>367</v>
      </c>
      <c r="G63" s="18"/>
      <c r="H63" s="19">
        <v>1</v>
      </c>
      <c r="I63" s="17"/>
      <c r="J63" s="20">
        <v>0</v>
      </c>
      <c r="K63" s="58">
        <v>1006817</v>
      </c>
      <c r="L63" s="59"/>
      <c r="M63" s="59"/>
      <c r="N63" s="59"/>
      <c r="O63" s="60">
        <f t="shared" si="8"/>
        <v>0</v>
      </c>
      <c r="P63" s="59"/>
      <c r="Q63" s="59"/>
      <c r="R63" s="61"/>
      <c r="S63" s="61"/>
      <c r="T63" s="61"/>
      <c r="U63" s="61"/>
      <c r="V63" s="61"/>
      <c r="W63" s="62">
        <v>0.5</v>
      </c>
      <c r="X63" s="63">
        <v>30</v>
      </c>
      <c r="Y63" s="62" t="str">
        <f t="shared" si="1"/>
        <v>Lab-Change Lead</v>
      </c>
      <c r="Z63" s="62">
        <f t="shared" si="2"/>
        <v>0</v>
      </c>
      <c r="AA63" s="63">
        <f t="shared" si="3"/>
        <v>0.5</v>
      </c>
      <c r="AB63" s="63">
        <f t="shared" si="7"/>
        <v>0</v>
      </c>
      <c r="AC63" s="62">
        <f t="shared" si="5"/>
        <v>30</v>
      </c>
      <c r="AD63" s="62">
        <f t="shared" si="9"/>
        <v>0</v>
      </c>
      <c r="AE63" s="64"/>
      <c r="AF63" s="65"/>
      <c r="AG63" s="20" t="s">
        <v>59</v>
      </c>
      <c r="AH63" s="29" t="s">
        <v>368</v>
      </c>
      <c r="AI63" s="30">
        <v>45224</v>
      </c>
    </row>
    <row r="64" spans="1:35" x14ac:dyDescent="0.25">
      <c r="A64" s="71">
        <v>45131</v>
      </c>
      <c r="B64" s="37" t="s">
        <v>369</v>
      </c>
      <c r="C64" s="17" t="s">
        <v>370</v>
      </c>
      <c r="D64" s="17" t="s">
        <v>371</v>
      </c>
      <c r="E64" s="16">
        <v>45142</v>
      </c>
      <c r="F64" s="17" t="s">
        <v>372</v>
      </c>
      <c r="G64" s="18" t="s">
        <v>373</v>
      </c>
      <c r="H64" s="19">
        <v>2</v>
      </c>
      <c r="I64" s="17" t="s">
        <v>374</v>
      </c>
      <c r="J64" s="20">
        <v>50.4</v>
      </c>
      <c r="K64" s="58">
        <v>1007008</v>
      </c>
      <c r="L64" s="59" t="s">
        <v>375</v>
      </c>
      <c r="M64" s="59">
        <v>24</v>
      </c>
      <c r="N64" s="59">
        <v>2.5</v>
      </c>
      <c r="O64" s="60">
        <f t="shared" si="8"/>
        <v>60</v>
      </c>
      <c r="P64" s="59" t="s">
        <v>154</v>
      </c>
      <c r="Q64" s="59" t="s">
        <v>376</v>
      </c>
      <c r="R64" s="61"/>
      <c r="S64" s="61"/>
      <c r="T64" s="61"/>
      <c r="U64" s="61"/>
      <c r="V64" s="61"/>
      <c r="W64" s="62">
        <v>1.07</v>
      </c>
      <c r="X64" s="63">
        <v>150.5</v>
      </c>
      <c r="Y64" s="62" t="str">
        <f t="shared" si="1"/>
        <v>RECELL749</v>
      </c>
      <c r="Z64" s="62" t="str">
        <f t="shared" si="2"/>
        <v>20/NC2500SCR</v>
      </c>
      <c r="AA64" s="63">
        <f t="shared" si="3"/>
        <v>1.07</v>
      </c>
      <c r="AB64" s="63">
        <f t="shared" si="7"/>
        <v>50.4</v>
      </c>
      <c r="AC64" s="62">
        <f t="shared" si="5"/>
        <v>150.5</v>
      </c>
      <c r="AD64" s="62" t="str">
        <f t="shared" si="9"/>
        <v>22000-299R</v>
      </c>
      <c r="AE64" s="64"/>
      <c r="AF64" s="65"/>
      <c r="AG64" s="20" t="s">
        <v>13</v>
      </c>
      <c r="AH64" s="29">
        <v>23985</v>
      </c>
      <c r="AI64" s="30">
        <v>45239</v>
      </c>
    </row>
    <row r="65" spans="1:35" x14ac:dyDescent="0.25">
      <c r="A65" s="56">
        <v>45190</v>
      </c>
      <c r="B65" s="57" t="s">
        <v>377</v>
      </c>
      <c r="C65" s="17"/>
      <c r="D65" s="17" t="s">
        <v>378</v>
      </c>
      <c r="E65" s="16">
        <v>45201</v>
      </c>
      <c r="F65" s="17" t="s">
        <v>379</v>
      </c>
      <c r="G65" s="18" t="s">
        <v>380</v>
      </c>
      <c r="H65" s="19">
        <v>1</v>
      </c>
      <c r="I65" s="17" t="s">
        <v>381</v>
      </c>
      <c r="J65" s="20">
        <v>0</v>
      </c>
      <c r="K65" s="58">
        <v>1013667</v>
      </c>
      <c r="L65" s="59"/>
      <c r="M65" s="59"/>
      <c r="N65" s="59"/>
      <c r="O65" s="60">
        <f t="shared" si="8"/>
        <v>0</v>
      </c>
      <c r="P65" s="59"/>
      <c r="Q65" s="59"/>
      <c r="R65" s="61"/>
      <c r="S65" s="61"/>
      <c r="T65" s="61"/>
      <c r="U65" s="61"/>
      <c r="V65" s="61"/>
      <c r="W65" s="62">
        <v>0.25</v>
      </c>
      <c r="X65" s="63">
        <v>5</v>
      </c>
      <c r="Y65" s="62" t="str">
        <f t="shared" si="1"/>
        <v>Lab-Conn</v>
      </c>
      <c r="Z65" s="62">
        <f t="shared" si="2"/>
        <v>0</v>
      </c>
      <c r="AA65" s="63">
        <f t="shared" si="3"/>
        <v>0.25</v>
      </c>
      <c r="AB65" s="63">
        <f t="shared" si="7"/>
        <v>0</v>
      </c>
      <c r="AC65" s="62">
        <f t="shared" si="5"/>
        <v>5</v>
      </c>
      <c r="AD65" s="62" t="str">
        <f t="shared" si="9"/>
        <v>BOM - ENGINEERING</v>
      </c>
      <c r="AE65" s="64"/>
      <c r="AF65" s="65"/>
      <c r="AG65" s="20" t="s">
        <v>59</v>
      </c>
      <c r="AH65" s="29">
        <v>2394</v>
      </c>
      <c r="AI65" s="30">
        <v>45307</v>
      </c>
    </row>
    <row r="66" spans="1:35" x14ac:dyDescent="0.25">
      <c r="A66" s="72">
        <v>45198</v>
      </c>
      <c r="B66" s="73" t="s">
        <v>382</v>
      </c>
      <c r="C66" s="17" t="s">
        <v>383</v>
      </c>
      <c r="D66" s="17" t="s">
        <v>384</v>
      </c>
      <c r="E66" s="16">
        <v>45211</v>
      </c>
      <c r="F66" s="17" t="s">
        <v>385</v>
      </c>
      <c r="G66" s="18" t="s">
        <v>386</v>
      </c>
      <c r="H66" s="19">
        <v>10</v>
      </c>
      <c r="I66" s="17" t="s">
        <v>387</v>
      </c>
      <c r="J66" s="20">
        <v>282.91000000000003</v>
      </c>
      <c r="K66" s="58">
        <v>1014164</v>
      </c>
      <c r="L66" s="59"/>
      <c r="M66" s="59">
        <v>12.8</v>
      </c>
      <c r="N66" s="59">
        <v>11.4</v>
      </c>
      <c r="O66" s="60">
        <f t="shared" si="8"/>
        <v>145.92000000000002</v>
      </c>
      <c r="P66" s="59" t="s">
        <v>182</v>
      </c>
      <c r="Q66" s="59" t="s">
        <v>42</v>
      </c>
      <c r="R66" s="61"/>
      <c r="S66" s="61"/>
      <c r="T66" s="61"/>
      <c r="U66" s="61"/>
      <c r="V66" s="61"/>
      <c r="W66" s="62">
        <v>0.5</v>
      </c>
      <c r="X66" s="63">
        <v>485</v>
      </c>
      <c r="Y66" s="62" t="str">
        <f t="shared" ref="Y66:Y129" si="10">D66</f>
        <v>RL1744</v>
      </c>
      <c r="Z66" s="62" t="str">
        <f t="shared" ref="Z66:Z129" si="11">C66</f>
        <v>1/12LFP11.4</v>
      </c>
      <c r="AA66" s="63">
        <f t="shared" ref="AA66:AA129" si="12">W66</f>
        <v>0.5</v>
      </c>
      <c r="AB66" s="63">
        <f t="shared" si="7"/>
        <v>282.91000000000003</v>
      </c>
      <c r="AC66" s="62">
        <f t="shared" ref="AC66:AC129" si="13">X66</f>
        <v>485</v>
      </c>
      <c r="AD66" s="62" t="str">
        <f t="shared" si="9"/>
        <v>66003-187</v>
      </c>
      <c r="AE66" s="64"/>
      <c r="AF66" s="65"/>
      <c r="AG66" s="20" t="s">
        <v>59</v>
      </c>
      <c r="AH66" s="29">
        <v>2114</v>
      </c>
      <c r="AI66" s="30">
        <v>45330</v>
      </c>
    </row>
    <row r="67" spans="1:35" x14ac:dyDescent="0.25">
      <c r="A67" s="72">
        <v>45198</v>
      </c>
      <c r="B67" s="73" t="s">
        <v>388</v>
      </c>
      <c r="C67" s="17" t="s">
        <v>389</v>
      </c>
      <c r="D67" s="17" t="s">
        <v>260</v>
      </c>
      <c r="E67" s="16">
        <v>45217</v>
      </c>
      <c r="F67" s="17" t="s">
        <v>390</v>
      </c>
      <c r="G67" s="18" t="s">
        <v>391</v>
      </c>
      <c r="H67" s="19">
        <v>1</v>
      </c>
      <c r="I67" s="17">
        <v>18</v>
      </c>
      <c r="J67" s="20">
        <v>2.6</v>
      </c>
      <c r="K67" s="58">
        <v>1014677</v>
      </c>
      <c r="L67" s="59"/>
      <c r="M67" s="59">
        <v>18</v>
      </c>
      <c r="N67" s="59">
        <v>2.6</v>
      </c>
      <c r="O67" s="60">
        <f t="shared" si="8"/>
        <v>46.800000000000004</v>
      </c>
      <c r="P67" s="59" t="s">
        <v>139</v>
      </c>
      <c r="Q67" s="59" t="s">
        <v>308</v>
      </c>
      <c r="R67" s="61"/>
      <c r="S67" s="61"/>
      <c r="T67" s="61"/>
      <c r="U67" s="61"/>
      <c r="V67" s="61"/>
      <c r="W67" s="62">
        <v>0.5</v>
      </c>
      <c r="X67" s="63">
        <v>90</v>
      </c>
      <c r="Y67" s="62" t="str">
        <f t="shared" si="10"/>
        <v>RECELL</v>
      </c>
      <c r="Z67" s="62" t="str">
        <f t="shared" si="11"/>
        <v>5/INR18650-25R</v>
      </c>
      <c r="AA67" s="63">
        <f t="shared" si="12"/>
        <v>0.5</v>
      </c>
      <c r="AB67" s="63">
        <f t="shared" si="7"/>
        <v>2.6</v>
      </c>
      <c r="AC67" s="62">
        <f t="shared" si="13"/>
        <v>90</v>
      </c>
      <c r="AD67" s="62" t="str">
        <f t="shared" si="9"/>
        <v>66004-154</v>
      </c>
      <c r="AE67" s="64"/>
      <c r="AF67" s="65"/>
      <c r="AG67" s="20" t="s">
        <v>59</v>
      </c>
      <c r="AH67" s="29">
        <v>1464</v>
      </c>
      <c r="AI67" s="17"/>
    </row>
    <row r="68" spans="1:35" x14ac:dyDescent="0.25">
      <c r="A68" s="71">
        <v>45201</v>
      </c>
      <c r="B68" s="37" t="s">
        <v>392</v>
      </c>
      <c r="C68" s="17" t="s">
        <v>393</v>
      </c>
      <c r="D68" s="17" t="s">
        <v>394</v>
      </c>
      <c r="E68" s="16">
        <v>45200</v>
      </c>
      <c r="F68" s="17" t="s">
        <v>395</v>
      </c>
      <c r="G68" s="18" t="s">
        <v>396</v>
      </c>
      <c r="H68" s="19">
        <v>1</v>
      </c>
      <c r="I68" s="17" t="s">
        <v>397</v>
      </c>
      <c r="J68" s="20">
        <v>2.98</v>
      </c>
      <c r="K68" s="58">
        <v>1013662</v>
      </c>
      <c r="L68" s="59"/>
      <c r="M68" s="59">
        <v>3.6</v>
      </c>
      <c r="N68" s="59">
        <v>0.4</v>
      </c>
      <c r="O68" s="60">
        <f t="shared" si="8"/>
        <v>1.4400000000000002</v>
      </c>
      <c r="P68" s="59" t="s">
        <v>154</v>
      </c>
      <c r="Q68" s="59" t="s">
        <v>98</v>
      </c>
      <c r="R68" s="61"/>
      <c r="S68" s="61"/>
      <c r="T68" s="61"/>
      <c r="U68" s="61"/>
      <c r="V68" s="61"/>
      <c r="W68" s="62">
        <v>0.25</v>
      </c>
      <c r="X68" s="63">
        <v>45</v>
      </c>
      <c r="Y68" s="62" t="str">
        <f t="shared" si="10"/>
        <v>N2089</v>
      </c>
      <c r="Z68" s="62" t="str">
        <f t="shared" si="11"/>
        <v>3/V40H</v>
      </c>
      <c r="AA68" s="63">
        <f t="shared" si="12"/>
        <v>0.25</v>
      </c>
      <c r="AB68" s="63">
        <f t="shared" si="7"/>
        <v>2.98</v>
      </c>
      <c r="AC68" s="62">
        <f t="shared" si="13"/>
        <v>45</v>
      </c>
      <c r="AD68" s="62" t="str">
        <f t="shared" si="9"/>
        <v>20003-713E</v>
      </c>
      <c r="AE68" s="64"/>
      <c r="AF68" s="65"/>
      <c r="AG68" s="20" t="s">
        <v>59</v>
      </c>
      <c r="AH68" s="29" t="s">
        <v>398</v>
      </c>
      <c r="AI68" s="30">
        <v>45336</v>
      </c>
    </row>
    <row r="69" spans="1:35" x14ac:dyDescent="0.25">
      <c r="A69" s="72">
        <v>45205</v>
      </c>
      <c r="B69" s="73" t="s">
        <v>399</v>
      </c>
      <c r="C69" s="17" t="s">
        <v>400</v>
      </c>
      <c r="D69" s="17" t="s">
        <v>401</v>
      </c>
      <c r="E69" s="16">
        <v>45218</v>
      </c>
      <c r="F69" s="17" t="s">
        <v>402</v>
      </c>
      <c r="G69" s="18" t="s">
        <v>403</v>
      </c>
      <c r="H69" s="19">
        <v>10</v>
      </c>
      <c r="I69" s="17" t="s">
        <v>404</v>
      </c>
      <c r="J69" s="20">
        <v>12.7</v>
      </c>
      <c r="K69" s="58">
        <v>1015410</v>
      </c>
      <c r="L69" s="59"/>
      <c r="M69" s="59">
        <v>12</v>
      </c>
      <c r="N69" s="59">
        <v>1.2</v>
      </c>
      <c r="O69" s="60">
        <f t="shared" si="8"/>
        <v>14.399999999999999</v>
      </c>
      <c r="P69" s="59" t="s">
        <v>286</v>
      </c>
      <c r="Q69" s="59" t="s">
        <v>42</v>
      </c>
      <c r="R69" s="61"/>
      <c r="S69" s="61"/>
      <c r="T69" s="61"/>
      <c r="U69" s="61"/>
      <c r="V69" s="61"/>
      <c r="W69" s="62">
        <v>0.56999999999999995</v>
      </c>
      <c r="X69" s="63">
        <v>60</v>
      </c>
      <c r="Y69" s="62" t="str">
        <f t="shared" si="10"/>
        <v>S19</v>
      </c>
      <c r="Z69" s="62" t="str">
        <f t="shared" si="11"/>
        <v>1/12SB1.2P</v>
      </c>
      <c r="AA69" s="63">
        <f t="shared" si="12"/>
        <v>0.56999999999999995</v>
      </c>
      <c r="AB69" s="63">
        <f t="shared" si="7"/>
        <v>12.7</v>
      </c>
      <c r="AC69" s="62">
        <f t="shared" si="13"/>
        <v>60</v>
      </c>
      <c r="AD69" s="62" t="str">
        <f t="shared" si="9"/>
        <v>66000-595</v>
      </c>
      <c r="AE69" s="64"/>
      <c r="AF69" s="65"/>
      <c r="AG69" s="20" t="s">
        <v>108</v>
      </c>
      <c r="AH69" s="29">
        <v>61117</v>
      </c>
      <c r="AI69" s="30">
        <v>45338</v>
      </c>
    </row>
    <row r="70" spans="1:35" x14ac:dyDescent="0.25">
      <c r="A70" s="67">
        <v>45210</v>
      </c>
      <c r="B70" s="39" t="s">
        <v>405</v>
      </c>
      <c r="C70" s="17" t="s">
        <v>349</v>
      </c>
      <c r="D70" s="17" t="s">
        <v>406</v>
      </c>
      <c r="E70" s="16">
        <v>45231</v>
      </c>
      <c r="F70" s="17" t="s">
        <v>407</v>
      </c>
      <c r="G70" s="18" t="s">
        <v>408</v>
      </c>
      <c r="H70" s="19">
        <v>1</v>
      </c>
      <c r="I70" s="17" t="s">
        <v>352</v>
      </c>
      <c r="J70" s="20">
        <v>8.6300000000000008</v>
      </c>
      <c r="K70" s="58">
        <v>1016023</v>
      </c>
      <c r="L70" s="59" t="s">
        <v>409</v>
      </c>
      <c r="M70" s="59">
        <v>7.4</v>
      </c>
      <c r="N70" s="59">
        <v>2.6</v>
      </c>
      <c r="O70" s="60">
        <f t="shared" si="8"/>
        <v>19.240000000000002</v>
      </c>
      <c r="P70" s="59" t="s">
        <v>139</v>
      </c>
      <c r="Q70" s="59" t="s">
        <v>183</v>
      </c>
      <c r="R70" s="61"/>
      <c r="S70" s="61"/>
      <c r="T70" s="61"/>
      <c r="U70" s="61"/>
      <c r="V70" s="61"/>
      <c r="W70" s="62">
        <v>0.74</v>
      </c>
      <c r="X70" s="63">
        <v>34.119999999999997</v>
      </c>
      <c r="Y70" s="62" t="str">
        <f t="shared" si="10"/>
        <v>RL1088</v>
      </c>
      <c r="Z70" s="62" t="str">
        <f t="shared" si="11"/>
        <v>2/UR18650ZY</v>
      </c>
      <c r="AA70" s="63">
        <f t="shared" si="12"/>
        <v>0.74</v>
      </c>
      <c r="AB70" s="63">
        <f t="shared" si="7"/>
        <v>8.6300000000000008</v>
      </c>
      <c r="AC70" s="62">
        <f t="shared" si="13"/>
        <v>34.119999999999997</v>
      </c>
      <c r="AD70" s="62" t="str">
        <f t="shared" si="9"/>
        <v>30008-102BWAB</v>
      </c>
      <c r="AE70" s="64"/>
      <c r="AF70" s="65"/>
      <c r="AG70" s="20" t="s">
        <v>59</v>
      </c>
      <c r="AH70" s="29">
        <v>66989</v>
      </c>
      <c r="AI70" s="30">
        <v>45338</v>
      </c>
    </row>
    <row r="71" spans="1:35" x14ac:dyDescent="0.25">
      <c r="A71" s="71">
        <v>45236</v>
      </c>
      <c r="B71" s="37" t="s">
        <v>410</v>
      </c>
      <c r="C71" s="17" t="s">
        <v>411</v>
      </c>
      <c r="D71" s="17" t="s">
        <v>412</v>
      </c>
      <c r="E71" s="16">
        <v>45275</v>
      </c>
      <c r="F71" s="17" t="s">
        <v>80</v>
      </c>
      <c r="G71" s="18" t="s">
        <v>413</v>
      </c>
      <c r="H71" s="19">
        <v>600</v>
      </c>
      <c r="I71" s="17" t="s">
        <v>243</v>
      </c>
      <c r="J71" s="20">
        <v>7.37</v>
      </c>
      <c r="K71" s="58">
        <v>1018838</v>
      </c>
      <c r="L71" s="59"/>
      <c r="M71" s="59">
        <v>3.6</v>
      </c>
      <c r="N71" s="59">
        <v>3.35</v>
      </c>
      <c r="O71" s="60">
        <f t="shared" si="8"/>
        <v>12.06</v>
      </c>
      <c r="P71" s="47" t="s">
        <v>139</v>
      </c>
      <c r="Q71" s="59" t="s">
        <v>42</v>
      </c>
      <c r="R71" s="61"/>
      <c r="S71" s="61"/>
      <c r="T71" s="61"/>
      <c r="U71" s="61"/>
      <c r="V71" s="61"/>
      <c r="W71" s="62">
        <v>0.25</v>
      </c>
      <c r="X71" s="63">
        <v>24</v>
      </c>
      <c r="Y71" s="62" t="str">
        <f t="shared" si="10"/>
        <v>RL1598</v>
      </c>
      <c r="Z71" s="62" t="str">
        <f t="shared" si="11"/>
        <v>1/NCR18650BF</v>
      </c>
      <c r="AA71" s="63">
        <f t="shared" si="12"/>
        <v>0.25</v>
      </c>
      <c r="AB71" s="63">
        <f t="shared" si="7"/>
        <v>7.37</v>
      </c>
      <c r="AC71" s="62">
        <f t="shared" si="13"/>
        <v>24</v>
      </c>
      <c r="AD71" s="62" t="str">
        <f t="shared" si="9"/>
        <v>66002-915</v>
      </c>
      <c r="AE71" s="64"/>
      <c r="AF71" s="65"/>
      <c r="AG71" s="20" t="s">
        <v>43</v>
      </c>
      <c r="AH71" s="29">
        <v>65616</v>
      </c>
      <c r="AI71" s="17"/>
    </row>
    <row r="72" spans="1:35" x14ac:dyDescent="0.25">
      <c r="A72" s="72">
        <v>45247</v>
      </c>
      <c r="B72" s="73" t="s">
        <v>414</v>
      </c>
      <c r="C72" s="17" t="s">
        <v>415</v>
      </c>
      <c r="D72" s="17" t="s">
        <v>416</v>
      </c>
      <c r="E72" s="16">
        <v>45272</v>
      </c>
      <c r="F72" s="17" t="s">
        <v>417</v>
      </c>
      <c r="G72" s="18" t="s">
        <v>418</v>
      </c>
      <c r="H72" s="19">
        <v>1</v>
      </c>
      <c r="I72" s="17" t="s">
        <v>419</v>
      </c>
      <c r="J72" s="20">
        <v>947.54</v>
      </c>
      <c r="K72" s="58">
        <v>1020044</v>
      </c>
      <c r="L72" s="59"/>
      <c r="M72" s="59">
        <v>25.6</v>
      </c>
      <c r="N72" s="59">
        <v>21.6</v>
      </c>
      <c r="O72" s="60">
        <v>537.6</v>
      </c>
      <c r="P72" s="59" t="s">
        <v>182</v>
      </c>
      <c r="Q72" s="59" t="s">
        <v>183</v>
      </c>
      <c r="R72" s="61"/>
      <c r="S72" s="61"/>
      <c r="T72" s="61"/>
      <c r="U72" s="61"/>
      <c r="V72" s="61"/>
      <c r="W72" s="62">
        <v>15.97</v>
      </c>
      <c r="X72" s="63">
        <v>1650</v>
      </c>
      <c r="Y72" s="62" t="str">
        <f t="shared" si="10"/>
        <v>RL1346</v>
      </c>
      <c r="Z72" s="62" t="str">
        <f t="shared" si="11"/>
        <v>2/12LFP21</v>
      </c>
      <c r="AA72" s="63">
        <f t="shared" si="12"/>
        <v>15.97</v>
      </c>
      <c r="AB72" s="63">
        <f t="shared" si="7"/>
        <v>947.54</v>
      </c>
      <c r="AC72" s="62">
        <f t="shared" si="13"/>
        <v>1650</v>
      </c>
      <c r="AD72" s="62" t="str">
        <f t="shared" si="9"/>
        <v>66002-364</v>
      </c>
      <c r="AE72" s="64"/>
      <c r="AF72" s="65"/>
      <c r="AG72" s="20" t="s">
        <v>59</v>
      </c>
      <c r="AH72" s="29">
        <v>66776</v>
      </c>
      <c r="AI72" s="30">
        <v>45204</v>
      </c>
    </row>
    <row r="73" spans="1:35" x14ac:dyDescent="0.25">
      <c r="A73" s="67">
        <v>45252</v>
      </c>
      <c r="B73" s="39" t="s">
        <v>420</v>
      </c>
      <c r="C73" s="17" t="s">
        <v>421</v>
      </c>
      <c r="D73" s="17" t="s">
        <v>422</v>
      </c>
      <c r="E73" s="16">
        <v>45272</v>
      </c>
      <c r="F73" s="17" t="s">
        <v>423</v>
      </c>
      <c r="G73" s="18" t="s">
        <v>424</v>
      </c>
      <c r="H73" s="19">
        <v>10</v>
      </c>
      <c r="I73" s="17" t="s">
        <v>425</v>
      </c>
      <c r="J73" s="20">
        <v>39.389000000000003</v>
      </c>
      <c r="K73" s="58">
        <v>1020585</v>
      </c>
      <c r="L73" s="59"/>
      <c r="M73" s="59">
        <v>3.6</v>
      </c>
      <c r="N73" s="59">
        <v>34</v>
      </c>
      <c r="O73" s="60">
        <f t="shared" ref="O73:O81" si="14">N73*M73</f>
        <v>122.4</v>
      </c>
      <c r="P73" s="59" t="s">
        <v>314</v>
      </c>
      <c r="Q73" s="59" t="s">
        <v>131</v>
      </c>
      <c r="R73" s="61"/>
      <c r="S73" s="61"/>
      <c r="T73" s="61"/>
      <c r="U73" s="61"/>
      <c r="V73" s="61"/>
      <c r="W73" s="62">
        <v>0.5</v>
      </c>
      <c r="X73" s="63">
        <v>79</v>
      </c>
      <c r="Y73" s="62" t="str">
        <f t="shared" si="10"/>
        <v>L987</v>
      </c>
      <c r="Z73" s="62" t="str">
        <f t="shared" si="11"/>
        <v>2/LS33600</v>
      </c>
      <c r="AA73" s="63">
        <f t="shared" si="12"/>
        <v>0.5</v>
      </c>
      <c r="AB73" s="63">
        <f t="shared" si="7"/>
        <v>39.389000000000003</v>
      </c>
      <c r="AC73" s="62">
        <f t="shared" si="13"/>
        <v>79</v>
      </c>
      <c r="AD73" s="62" t="str">
        <f t="shared" si="9"/>
        <v>66002-795</v>
      </c>
      <c r="AE73" s="64"/>
      <c r="AF73" s="65"/>
      <c r="AG73" s="20" t="s">
        <v>43</v>
      </c>
      <c r="AH73" s="29">
        <v>66649</v>
      </c>
      <c r="AI73" s="30">
        <v>45320</v>
      </c>
    </row>
    <row r="74" spans="1:35" x14ac:dyDescent="0.25">
      <c r="A74" s="75">
        <v>45254</v>
      </c>
      <c r="B74" s="76" t="s">
        <v>426</v>
      </c>
      <c r="C74" s="17" t="s">
        <v>427</v>
      </c>
      <c r="D74" s="17" t="s">
        <v>428</v>
      </c>
      <c r="E74" s="16">
        <v>45254</v>
      </c>
      <c r="F74" s="17" t="s">
        <v>385</v>
      </c>
      <c r="G74" s="18" t="s">
        <v>429</v>
      </c>
      <c r="H74" s="19">
        <v>5</v>
      </c>
      <c r="I74" s="17"/>
      <c r="J74" s="20">
        <v>27.5</v>
      </c>
      <c r="K74" s="58">
        <v>1020949</v>
      </c>
      <c r="L74" s="59"/>
      <c r="M74" s="59"/>
      <c r="N74" s="59"/>
      <c r="O74" s="60">
        <f t="shared" si="14"/>
        <v>0</v>
      </c>
      <c r="P74" s="59"/>
      <c r="Q74" s="59"/>
      <c r="R74" s="61"/>
      <c r="S74" s="61"/>
      <c r="T74" s="61"/>
      <c r="U74" s="61"/>
      <c r="V74" s="61"/>
      <c r="W74" s="62">
        <v>1</v>
      </c>
      <c r="X74" s="63">
        <v>150</v>
      </c>
      <c r="Y74" s="62" t="str">
        <f t="shared" si="10"/>
        <v>CA214</v>
      </c>
      <c r="Z74" s="62" t="str">
        <f t="shared" si="11"/>
        <v>CUSTOM SOLAR JUNCTION BOX</v>
      </c>
      <c r="AA74" s="63">
        <f t="shared" si="12"/>
        <v>1</v>
      </c>
      <c r="AB74" s="63">
        <f t="shared" si="7"/>
        <v>27.5</v>
      </c>
      <c r="AC74" s="62">
        <f t="shared" si="13"/>
        <v>150</v>
      </c>
      <c r="AD74" s="62" t="str">
        <f t="shared" si="9"/>
        <v>66003-212</v>
      </c>
      <c r="AE74" s="64"/>
      <c r="AF74" s="65"/>
      <c r="AG74" s="20" t="s">
        <v>59</v>
      </c>
      <c r="AH74" s="29">
        <v>2114</v>
      </c>
      <c r="AI74" s="30">
        <v>45323</v>
      </c>
    </row>
    <row r="75" spans="1:35" x14ac:dyDescent="0.25">
      <c r="A75" s="67">
        <v>45273</v>
      </c>
      <c r="B75" s="39" t="s">
        <v>430</v>
      </c>
      <c r="C75" s="17" t="s">
        <v>431</v>
      </c>
      <c r="D75" s="17" t="s">
        <v>432</v>
      </c>
      <c r="E75" s="16">
        <v>45259</v>
      </c>
      <c r="F75" s="17" t="s">
        <v>159</v>
      </c>
      <c r="G75" s="18" t="s">
        <v>433</v>
      </c>
      <c r="H75" s="19">
        <v>11</v>
      </c>
      <c r="I75" s="17" t="s">
        <v>434</v>
      </c>
      <c r="J75" s="20">
        <v>11.14</v>
      </c>
      <c r="K75" s="58">
        <v>1020857</v>
      </c>
      <c r="L75" s="59"/>
      <c r="M75" s="59"/>
      <c r="N75" s="59"/>
      <c r="O75" s="60">
        <f t="shared" si="14"/>
        <v>0</v>
      </c>
      <c r="P75" s="59"/>
      <c r="Q75" s="59"/>
      <c r="R75" s="61"/>
      <c r="S75" s="61"/>
      <c r="T75" s="61"/>
      <c r="U75" s="61"/>
      <c r="V75" s="61"/>
      <c r="W75" s="62">
        <v>0.36</v>
      </c>
      <c r="X75" s="63">
        <v>153.56</v>
      </c>
      <c r="Y75" s="62" t="str">
        <f t="shared" si="10"/>
        <v>CH598A</v>
      </c>
      <c r="Z75" s="62" t="str">
        <f t="shared" si="11"/>
        <v>VECIP67-24/8A</v>
      </c>
      <c r="AA75" s="63">
        <f t="shared" si="12"/>
        <v>0.36</v>
      </c>
      <c r="AB75" s="63">
        <f t="shared" si="7"/>
        <v>11.14</v>
      </c>
      <c r="AC75" s="62">
        <f t="shared" si="13"/>
        <v>153.56</v>
      </c>
      <c r="AD75" s="62" t="str">
        <f t="shared" si="9"/>
        <v>64900-694XLR</v>
      </c>
      <c r="AE75" s="64"/>
      <c r="AF75" s="65"/>
      <c r="AG75" s="20" t="s">
        <v>43</v>
      </c>
      <c r="AH75" s="29">
        <v>66277</v>
      </c>
      <c r="AI75" s="30">
        <v>45190</v>
      </c>
    </row>
    <row r="76" spans="1:35" x14ac:dyDescent="0.25">
      <c r="A76" s="66">
        <v>45307</v>
      </c>
      <c r="B76" s="13" t="s">
        <v>435</v>
      </c>
      <c r="C76" s="77" t="s">
        <v>436</v>
      </c>
      <c r="D76" s="77" t="s">
        <v>437</v>
      </c>
      <c r="E76" s="78">
        <v>45307</v>
      </c>
      <c r="F76" s="77" t="s">
        <v>438</v>
      </c>
      <c r="G76" s="79" t="s">
        <v>439</v>
      </c>
      <c r="H76" s="80">
        <v>1</v>
      </c>
      <c r="I76" s="77" t="s">
        <v>243</v>
      </c>
      <c r="J76" s="20">
        <v>19.36</v>
      </c>
      <c r="K76" s="58">
        <v>1025734</v>
      </c>
      <c r="L76" s="59" t="s">
        <v>440</v>
      </c>
      <c r="M76" s="59">
        <v>10.8</v>
      </c>
      <c r="N76" s="59">
        <v>3.35</v>
      </c>
      <c r="O76" s="60">
        <f t="shared" si="14"/>
        <v>36.180000000000007</v>
      </c>
      <c r="P76" s="59" t="s">
        <v>139</v>
      </c>
      <c r="Q76" s="59" t="s">
        <v>98</v>
      </c>
      <c r="R76" s="61"/>
      <c r="S76" s="61"/>
      <c r="T76" s="61"/>
      <c r="U76" s="61"/>
      <c r="V76" s="61"/>
      <c r="W76" s="62">
        <v>1.17</v>
      </c>
      <c r="X76" s="63">
        <v>80</v>
      </c>
      <c r="Y76" s="62" t="str">
        <f t="shared" si="10"/>
        <v>RL815</v>
      </c>
      <c r="Z76" s="62" t="str">
        <f t="shared" si="11"/>
        <v>3/NCR18650BF</v>
      </c>
      <c r="AA76" s="63">
        <f t="shared" si="12"/>
        <v>1.17</v>
      </c>
      <c r="AB76" s="63">
        <f t="shared" si="7"/>
        <v>19.36</v>
      </c>
      <c r="AC76" s="62">
        <f t="shared" si="13"/>
        <v>80</v>
      </c>
      <c r="AD76" s="62" t="str">
        <f t="shared" si="9"/>
        <v>88003-112</v>
      </c>
      <c r="AE76" s="64"/>
      <c r="AF76" s="65"/>
      <c r="AG76" s="20" t="s">
        <v>59</v>
      </c>
      <c r="AH76" s="29">
        <v>64999</v>
      </c>
      <c r="AI76" s="30">
        <v>45330</v>
      </c>
    </row>
    <row r="77" spans="1:35" x14ac:dyDescent="0.25">
      <c r="A77" s="72">
        <v>45331</v>
      </c>
      <c r="B77" s="73" t="s">
        <v>441</v>
      </c>
      <c r="C77" s="17" t="s">
        <v>442</v>
      </c>
      <c r="D77" s="17" t="s">
        <v>443</v>
      </c>
      <c r="E77" s="16">
        <v>45337</v>
      </c>
      <c r="F77" s="17" t="s">
        <v>261</v>
      </c>
      <c r="G77" s="18" t="s">
        <v>444</v>
      </c>
      <c r="H77" s="19">
        <v>1</v>
      </c>
      <c r="I77" s="17" t="s">
        <v>293</v>
      </c>
      <c r="J77" s="20">
        <v>9.48</v>
      </c>
      <c r="K77" s="58">
        <v>1028352</v>
      </c>
      <c r="L77" s="59"/>
      <c r="M77" s="59">
        <v>3.7</v>
      </c>
      <c r="N77" s="59">
        <v>2.2999999999999998</v>
      </c>
      <c r="O77" s="60">
        <f t="shared" si="14"/>
        <v>8.51</v>
      </c>
      <c r="P77" s="59" t="s">
        <v>139</v>
      </c>
      <c r="Q77" s="59" t="s">
        <v>131</v>
      </c>
      <c r="R77" s="61"/>
      <c r="S77" s="61"/>
      <c r="T77" s="61"/>
      <c r="U77" s="61"/>
      <c r="V77" s="61"/>
      <c r="W77" s="62">
        <v>1.52</v>
      </c>
      <c r="X77" s="63">
        <v>72.239999999999995</v>
      </c>
      <c r="Y77" s="62" t="str">
        <f t="shared" si="10"/>
        <v>RECELL543</v>
      </c>
      <c r="Z77" s="62" t="str">
        <f t="shared" si="11"/>
        <v>2/UF553450Z</v>
      </c>
      <c r="AA77" s="63">
        <f t="shared" si="12"/>
        <v>1.52</v>
      </c>
      <c r="AB77" s="63">
        <f t="shared" si="7"/>
        <v>9.48</v>
      </c>
      <c r="AC77" s="62">
        <f t="shared" si="13"/>
        <v>72.239999999999995</v>
      </c>
      <c r="AD77" s="62" t="str">
        <f t="shared" si="9"/>
        <v>22000-528K</v>
      </c>
      <c r="AE77" s="64"/>
      <c r="AF77" s="65"/>
      <c r="AG77" s="20" t="s">
        <v>445</v>
      </c>
      <c r="AH77" s="29">
        <v>23891</v>
      </c>
      <c r="AI77" s="30">
        <v>45338</v>
      </c>
    </row>
    <row r="78" spans="1:35" x14ac:dyDescent="0.25">
      <c r="A78" s="75">
        <v>45338</v>
      </c>
      <c r="B78" s="76" t="s">
        <v>446</v>
      </c>
      <c r="C78" s="17" t="s">
        <v>447</v>
      </c>
      <c r="D78" s="17" t="s">
        <v>448</v>
      </c>
      <c r="E78" s="16">
        <v>45345</v>
      </c>
      <c r="F78" s="17" t="s">
        <v>449</v>
      </c>
      <c r="G78" s="18" t="s">
        <v>450</v>
      </c>
      <c r="H78" s="19">
        <v>1</v>
      </c>
      <c r="I78" s="17" t="s">
        <v>451</v>
      </c>
      <c r="J78" s="19">
        <v>1047.6300000000001</v>
      </c>
      <c r="K78" s="58">
        <v>1029333</v>
      </c>
      <c r="L78" s="59"/>
      <c r="M78" s="59">
        <v>25.6</v>
      </c>
      <c r="N78" s="59">
        <v>132</v>
      </c>
      <c r="O78" s="60">
        <f t="shared" si="14"/>
        <v>3379.2000000000003</v>
      </c>
      <c r="P78" s="59" t="s">
        <v>182</v>
      </c>
      <c r="Q78" s="59" t="s">
        <v>452</v>
      </c>
      <c r="R78" s="61"/>
      <c r="S78" s="61"/>
      <c r="T78" s="61"/>
      <c r="U78" s="61"/>
      <c r="V78" s="61"/>
      <c r="W78" s="62">
        <v>10</v>
      </c>
      <c r="X78" s="63">
        <v>2640</v>
      </c>
      <c r="Y78" s="62" t="str">
        <f t="shared" si="10"/>
        <v>RL1783</v>
      </c>
      <c r="Z78" s="62" t="str">
        <f t="shared" si="11"/>
        <v xml:space="preserve">264/IFR26650-40A h </v>
      </c>
      <c r="AA78" s="63">
        <f t="shared" si="12"/>
        <v>10</v>
      </c>
      <c r="AB78" s="63">
        <f t="shared" si="7"/>
        <v>1047.6300000000001</v>
      </c>
      <c r="AC78" s="62">
        <f t="shared" si="13"/>
        <v>2640</v>
      </c>
      <c r="AD78" s="62" t="str">
        <f t="shared" si="9"/>
        <v>67001-973</v>
      </c>
      <c r="AE78" s="64"/>
      <c r="AF78" s="65"/>
      <c r="AG78" s="20" t="s">
        <v>43</v>
      </c>
      <c r="AH78" s="29">
        <v>34455</v>
      </c>
      <c r="AI78" s="17"/>
    </row>
    <row r="79" spans="1:35" x14ac:dyDescent="0.25">
      <c r="A79" s="66">
        <v>45342</v>
      </c>
      <c r="B79" s="13" t="s">
        <v>453</v>
      </c>
      <c r="C79" s="17" t="s">
        <v>454</v>
      </c>
      <c r="D79" s="17" t="s">
        <v>455</v>
      </c>
      <c r="E79" s="16">
        <v>45362</v>
      </c>
      <c r="F79" s="17" t="s">
        <v>456</v>
      </c>
      <c r="G79" s="18" t="s">
        <v>457</v>
      </c>
      <c r="H79" s="19">
        <v>10</v>
      </c>
      <c r="I79" s="17" t="s">
        <v>352</v>
      </c>
      <c r="J79" s="20">
        <v>16.45</v>
      </c>
      <c r="K79" s="58">
        <v>1029377</v>
      </c>
      <c r="L79" s="59"/>
      <c r="M79" s="59">
        <v>11.1</v>
      </c>
      <c r="N79" s="59">
        <v>2.6</v>
      </c>
      <c r="O79" s="60">
        <f t="shared" si="14"/>
        <v>28.86</v>
      </c>
      <c r="P79" s="59" t="s">
        <v>458</v>
      </c>
      <c r="Q79" s="59" t="s">
        <v>98</v>
      </c>
      <c r="R79" s="61"/>
      <c r="S79" s="61"/>
      <c r="T79" s="61"/>
      <c r="U79" s="61"/>
      <c r="V79" s="61"/>
      <c r="W79" s="62">
        <v>0.98</v>
      </c>
      <c r="X79" s="63">
        <v>88</v>
      </c>
      <c r="Y79" s="62" t="str">
        <f t="shared" si="10"/>
        <v xml:space="preserve">RL144 </v>
      </c>
      <c r="Z79" s="62" t="str">
        <f t="shared" si="11"/>
        <v>3/UR18650ZY</v>
      </c>
      <c r="AA79" s="63">
        <f t="shared" si="12"/>
        <v>0.98</v>
      </c>
      <c r="AB79" s="63">
        <f t="shared" si="7"/>
        <v>16.45</v>
      </c>
      <c r="AC79" s="62">
        <f t="shared" si="13"/>
        <v>88</v>
      </c>
      <c r="AD79" s="62" t="str">
        <f t="shared" si="9"/>
        <v>66000-459</v>
      </c>
      <c r="AE79" s="64"/>
      <c r="AF79" s="65"/>
      <c r="AG79" s="20" t="s">
        <v>71</v>
      </c>
      <c r="AH79" s="29">
        <v>66148</v>
      </c>
      <c r="AI79" s="30">
        <v>45105</v>
      </c>
    </row>
    <row r="80" spans="1:35" x14ac:dyDescent="0.25">
      <c r="A80" s="67">
        <v>45343</v>
      </c>
      <c r="B80" s="39" t="s">
        <v>459</v>
      </c>
      <c r="C80" s="17" t="s">
        <v>460</v>
      </c>
      <c r="D80" s="17" t="s">
        <v>461</v>
      </c>
      <c r="E80" s="16">
        <v>45363</v>
      </c>
      <c r="F80" s="17" t="s">
        <v>462</v>
      </c>
      <c r="G80" s="18" t="s">
        <v>463</v>
      </c>
      <c r="H80" s="19">
        <v>12</v>
      </c>
      <c r="I80" s="17" t="s">
        <v>358</v>
      </c>
      <c r="J80" s="20">
        <v>5.2</v>
      </c>
      <c r="K80" s="58">
        <v>1029680</v>
      </c>
      <c r="L80" s="59"/>
      <c r="M80" s="59">
        <v>7.5</v>
      </c>
      <c r="N80" s="59"/>
      <c r="O80" s="60">
        <f t="shared" si="14"/>
        <v>0</v>
      </c>
      <c r="P80" s="59" t="s">
        <v>225</v>
      </c>
      <c r="Q80" s="59" t="s">
        <v>308</v>
      </c>
      <c r="R80" s="61"/>
      <c r="S80" s="61"/>
      <c r="T80" s="61"/>
      <c r="U80" s="61"/>
      <c r="V80" s="61"/>
      <c r="W80" s="62">
        <v>0.91</v>
      </c>
      <c r="X80" s="63">
        <v>40</v>
      </c>
      <c r="Y80" s="62" t="str">
        <f t="shared" si="10"/>
        <v>AL628</v>
      </c>
      <c r="Z80" s="62" t="str">
        <f t="shared" si="11"/>
        <v xml:space="preserve">5/LR20XW </v>
      </c>
      <c r="AA80" s="63">
        <f t="shared" si="12"/>
        <v>0.91</v>
      </c>
      <c r="AB80" s="63">
        <f t="shared" si="7"/>
        <v>5.2</v>
      </c>
      <c r="AC80" s="62">
        <f t="shared" si="13"/>
        <v>40</v>
      </c>
      <c r="AD80" s="62" t="str">
        <f t="shared" si="9"/>
        <v>66004-192</v>
      </c>
      <c r="AE80" s="64"/>
      <c r="AF80" s="65"/>
      <c r="AG80" s="20" t="s">
        <v>43</v>
      </c>
      <c r="AH80" s="29">
        <v>2706</v>
      </c>
      <c r="AI80" s="30">
        <v>45321</v>
      </c>
    </row>
    <row r="81" spans="1:35" x14ac:dyDescent="0.25">
      <c r="A81" s="67">
        <v>45343</v>
      </c>
      <c r="B81" s="39" t="s">
        <v>464</v>
      </c>
      <c r="C81" s="17" t="s">
        <v>465</v>
      </c>
      <c r="D81" s="17" t="s">
        <v>466</v>
      </c>
      <c r="E81" s="16">
        <v>45363</v>
      </c>
      <c r="F81" s="17" t="s">
        <v>467</v>
      </c>
      <c r="G81" s="18" t="s">
        <v>468</v>
      </c>
      <c r="H81" s="19">
        <v>1</v>
      </c>
      <c r="I81" s="17" t="s">
        <v>213</v>
      </c>
      <c r="J81" s="20">
        <v>37.64</v>
      </c>
      <c r="K81" s="58">
        <v>1029729</v>
      </c>
      <c r="L81" s="59"/>
      <c r="M81" s="59"/>
      <c r="N81" s="59"/>
      <c r="O81" s="60">
        <f t="shared" si="14"/>
        <v>0</v>
      </c>
      <c r="P81" s="59"/>
      <c r="Q81" s="59"/>
      <c r="R81" s="61"/>
      <c r="S81" s="61"/>
      <c r="T81" s="61"/>
      <c r="U81" s="61"/>
      <c r="V81" s="61"/>
      <c r="W81" s="62">
        <v>0.08</v>
      </c>
      <c r="X81" s="63">
        <v>110</v>
      </c>
      <c r="Y81" s="62" t="str">
        <f t="shared" si="10"/>
        <v>CH642</v>
      </c>
      <c r="Z81" s="62" t="str">
        <f t="shared" si="11"/>
        <v xml:space="preserve">1/TSB-003PCB </v>
      </c>
      <c r="AA81" s="63">
        <f t="shared" si="12"/>
        <v>0.08</v>
      </c>
      <c r="AB81" s="63">
        <f t="shared" ref="AB81:AB144" si="15">J81</f>
        <v>37.64</v>
      </c>
      <c r="AC81" s="62">
        <f t="shared" si="13"/>
        <v>110</v>
      </c>
      <c r="AD81" s="62" t="str">
        <f t="shared" si="9"/>
        <v>66003-182</v>
      </c>
      <c r="AE81" s="64"/>
      <c r="AF81" s="65"/>
      <c r="AG81" s="20" t="s">
        <v>59</v>
      </c>
      <c r="AH81" s="29">
        <v>2915</v>
      </c>
      <c r="AI81" s="30">
        <v>45338</v>
      </c>
    </row>
    <row r="82" spans="1:35" x14ac:dyDescent="0.25">
      <c r="A82" s="67">
        <v>45343</v>
      </c>
      <c r="B82" s="39" t="s">
        <v>469</v>
      </c>
      <c r="C82" s="17" t="s">
        <v>470</v>
      </c>
      <c r="D82" s="17" t="s">
        <v>260</v>
      </c>
      <c r="E82" s="16">
        <v>45201</v>
      </c>
      <c r="F82" s="17" t="s">
        <v>379</v>
      </c>
      <c r="G82" s="18" t="s">
        <v>471</v>
      </c>
      <c r="H82" s="19">
        <v>1</v>
      </c>
      <c r="I82" s="17" t="s">
        <v>472</v>
      </c>
      <c r="J82" s="20">
        <v>144.27000000000001</v>
      </c>
      <c r="K82" s="58">
        <v>1013667</v>
      </c>
      <c r="L82" s="59"/>
      <c r="M82" s="59">
        <v>25.2</v>
      </c>
      <c r="N82" s="59">
        <v>12.1</v>
      </c>
      <c r="O82" s="60">
        <v>305.39999999999998</v>
      </c>
      <c r="P82" s="59" t="s">
        <v>139</v>
      </c>
      <c r="Q82" s="59" t="s">
        <v>321</v>
      </c>
      <c r="R82" s="61"/>
      <c r="S82" s="61"/>
      <c r="T82" s="61"/>
      <c r="U82" s="61"/>
      <c r="V82" s="61"/>
      <c r="W82" s="62">
        <v>0.5</v>
      </c>
      <c r="X82" s="63">
        <v>475</v>
      </c>
      <c r="Y82" s="62" t="str">
        <f t="shared" si="10"/>
        <v>RECELL</v>
      </c>
      <c r="Z82" s="62" t="str">
        <f t="shared" si="11"/>
        <v>28/NCR18650BD</v>
      </c>
      <c r="AA82" s="63">
        <f t="shared" si="12"/>
        <v>0.5</v>
      </c>
      <c r="AB82" s="63">
        <f t="shared" si="15"/>
        <v>144.27000000000001</v>
      </c>
      <c r="AC82" s="62">
        <f t="shared" si="13"/>
        <v>475</v>
      </c>
      <c r="AD82" s="62" t="str">
        <f t="shared" si="9"/>
        <v>66003-186</v>
      </c>
      <c r="AE82" s="64"/>
      <c r="AF82" s="65"/>
      <c r="AG82" s="20" t="s">
        <v>59</v>
      </c>
      <c r="AH82" s="29">
        <v>2394</v>
      </c>
      <c r="AI82" s="30">
        <v>45342</v>
      </c>
    </row>
    <row r="83" spans="1:35" x14ac:dyDescent="0.25">
      <c r="A83" s="56">
        <v>45344</v>
      </c>
      <c r="B83" s="57" t="s">
        <v>473</v>
      </c>
      <c r="C83" s="17" t="s">
        <v>474</v>
      </c>
      <c r="D83" s="17" t="s">
        <v>475</v>
      </c>
      <c r="E83" s="16">
        <v>45338</v>
      </c>
      <c r="F83" s="17" t="s">
        <v>476</v>
      </c>
      <c r="G83" s="18" t="s">
        <v>477</v>
      </c>
      <c r="H83" s="19">
        <v>2</v>
      </c>
      <c r="I83" s="17" t="s">
        <v>232</v>
      </c>
      <c r="J83" s="20">
        <v>126.75</v>
      </c>
      <c r="K83" s="58">
        <v>1027615</v>
      </c>
      <c r="L83" s="59"/>
      <c r="M83" s="59"/>
      <c r="N83" s="59"/>
      <c r="O83" s="60">
        <f t="shared" ref="O83:O146" si="16">N83*M83</f>
        <v>0</v>
      </c>
      <c r="P83" s="59"/>
      <c r="Q83" s="59"/>
      <c r="R83" s="61"/>
      <c r="S83" s="61"/>
      <c r="T83" s="61"/>
      <c r="U83" s="61"/>
      <c r="V83" s="61"/>
      <c r="W83" s="62">
        <v>3.5</v>
      </c>
      <c r="X83" s="63">
        <v>425</v>
      </c>
      <c r="Y83" s="62" t="str">
        <f t="shared" si="10"/>
        <v>CH522B</v>
      </c>
      <c r="Z83" s="62" t="str">
        <f t="shared" si="11"/>
        <v>2/TSB-002PCB</v>
      </c>
      <c r="AA83" s="63">
        <f t="shared" si="12"/>
        <v>3.5</v>
      </c>
      <c r="AB83" s="63">
        <f t="shared" si="15"/>
        <v>126.75</v>
      </c>
      <c r="AC83" s="62">
        <f t="shared" si="13"/>
        <v>425</v>
      </c>
      <c r="AD83" s="62" t="str">
        <f t="shared" si="9"/>
        <v>66002-571B</v>
      </c>
      <c r="AE83" s="64"/>
      <c r="AF83" s="65"/>
      <c r="AG83" s="20" t="s">
        <v>71</v>
      </c>
      <c r="AH83" s="29">
        <v>1659</v>
      </c>
      <c r="AI83" s="30">
        <v>45324</v>
      </c>
    </row>
    <row r="84" spans="1:35" x14ac:dyDescent="0.25">
      <c r="A84" s="56">
        <v>45344</v>
      </c>
      <c r="B84" s="57" t="s">
        <v>478</v>
      </c>
      <c r="C84" s="17" t="s">
        <v>479</v>
      </c>
      <c r="D84" s="17" t="s">
        <v>480</v>
      </c>
      <c r="E84" s="16">
        <v>45343</v>
      </c>
      <c r="F84" s="17" t="s">
        <v>481</v>
      </c>
      <c r="G84" s="18" t="s">
        <v>482</v>
      </c>
      <c r="H84" s="19">
        <v>352</v>
      </c>
      <c r="I84" s="17" t="s">
        <v>483</v>
      </c>
      <c r="J84" s="20">
        <v>76.569999999999993</v>
      </c>
      <c r="K84" s="58">
        <v>1029919</v>
      </c>
      <c r="L84" s="59"/>
      <c r="M84" s="59">
        <v>3.93</v>
      </c>
      <c r="N84" s="59">
        <v>32</v>
      </c>
      <c r="O84" s="60">
        <f t="shared" si="16"/>
        <v>125.76</v>
      </c>
      <c r="P84" s="59" t="s">
        <v>307</v>
      </c>
      <c r="Q84" s="59" t="s">
        <v>42</v>
      </c>
      <c r="R84" s="61"/>
      <c r="S84" s="61"/>
      <c r="T84" s="61"/>
      <c r="U84" s="61"/>
      <c r="V84" s="61"/>
      <c r="W84" s="62">
        <v>0.05</v>
      </c>
      <c r="X84" s="63">
        <v>112.5</v>
      </c>
      <c r="Y84" s="62" t="str">
        <f t="shared" si="10"/>
        <v>L865</v>
      </c>
      <c r="Z84" s="62" t="str">
        <f t="shared" si="11"/>
        <v xml:space="preserve">1/LXRDD-5-1-SC-BC </v>
      </c>
      <c r="AA84" s="63">
        <f t="shared" si="12"/>
        <v>0.05</v>
      </c>
      <c r="AB84" s="63">
        <f t="shared" si="15"/>
        <v>76.569999999999993</v>
      </c>
      <c r="AC84" s="62">
        <f t="shared" si="13"/>
        <v>112.5</v>
      </c>
      <c r="AD84" s="62" t="str">
        <f t="shared" si="9"/>
        <v>67001-3486L865</v>
      </c>
      <c r="AE84" s="64"/>
      <c r="AF84" s="65"/>
      <c r="AG84" s="20" t="s">
        <v>43</v>
      </c>
      <c r="AH84" s="29">
        <v>1926</v>
      </c>
      <c r="AI84" s="30">
        <v>45343</v>
      </c>
    </row>
    <row r="85" spans="1:35" x14ac:dyDescent="0.25">
      <c r="A85" s="71">
        <v>45348</v>
      </c>
      <c r="B85" s="37" t="s">
        <v>484</v>
      </c>
      <c r="C85" s="17" t="s">
        <v>485</v>
      </c>
      <c r="D85" s="17" t="s">
        <v>178</v>
      </c>
      <c r="E85" s="16">
        <v>45359</v>
      </c>
      <c r="F85" s="17" t="s">
        <v>102</v>
      </c>
      <c r="G85" s="18" t="s">
        <v>486</v>
      </c>
      <c r="H85" s="19">
        <v>1</v>
      </c>
      <c r="I85" s="17" t="s">
        <v>472</v>
      </c>
      <c r="J85" s="20">
        <v>16.809999999999999</v>
      </c>
      <c r="K85" s="58">
        <v>1030196</v>
      </c>
      <c r="L85" s="59"/>
      <c r="M85" s="59">
        <v>14.4</v>
      </c>
      <c r="N85" s="59">
        <v>3.18</v>
      </c>
      <c r="O85" s="60">
        <f t="shared" si="16"/>
        <v>45.792000000000002</v>
      </c>
      <c r="P85" s="59" t="s">
        <v>139</v>
      </c>
      <c r="Q85" s="59" t="s">
        <v>270</v>
      </c>
      <c r="R85" s="61"/>
      <c r="S85" s="61"/>
      <c r="T85" s="61"/>
      <c r="U85" s="61"/>
      <c r="V85" s="61"/>
      <c r="W85" s="62">
        <v>0.25</v>
      </c>
      <c r="X85" s="63">
        <v>100</v>
      </c>
      <c r="Y85" s="62" t="str">
        <f t="shared" si="10"/>
        <v>PACK</v>
      </c>
      <c r="Z85" s="62" t="str">
        <f t="shared" si="11"/>
        <v>4/NCR18650BD</v>
      </c>
      <c r="AA85" s="63">
        <f t="shared" si="12"/>
        <v>0.25</v>
      </c>
      <c r="AB85" s="63">
        <f t="shared" si="15"/>
        <v>16.809999999999999</v>
      </c>
      <c r="AC85" s="62">
        <f t="shared" si="13"/>
        <v>100</v>
      </c>
      <c r="AD85" s="62" t="str">
        <f t="shared" si="9"/>
        <v>66003-234</v>
      </c>
      <c r="AE85" s="64"/>
      <c r="AF85" s="65"/>
      <c r="AG85" s="20" t="s">
        <v>445</v>
      </c>
      <c r="AH85" s="29">
        <v>24232</v>
      </c>
      <c r="AI85" s="30">
        <v>45345</v>
      </c>
    </row>
    <row r="86" spans="1:35" x14ac:dyDescent="0.25">
      <c r="A86" s="66">
        <v>45363</v>
      </c>
      <c r="B86" s="13" t="s">
        <v>487</v>
      </c>
      <c r="C86" s="17"/>
      <c r="D86" s="17" t="s">
        <v>488</v>
      </c>
      <c r="E86" s="16">
        <v>45363</v>
      </c>
      <c r="F86" s="17" t="s">
        <v>489</v>
      </c>
      <c r="G86" s="18" t="s">
        <v>380</v>
      </c>
      <c r="H86" s="19">
        <v>1</v>
      </c>
      <c r="I86" s="17"/>
      <c r="J86" s="20">
        <v>0</v>
      </c>
      <c r="K86" s="58">
        <v>1032072</v>
      </c>
      <c r="L86" s="59"/>
      <c r="M86" s="59"/>
      <c r="N86" s="59"/>
      <c r="O86" s="60">
        <f t="shared" si="16"/>
        <v>0</v>
      </c>
      <c r="P86" s="59"/>
      <c r="Q86" s="59"/>
      <c r="R86" s="61"/>
      <c r="S86" s="61"/>
      <c r="T86" s="61"/>
      <c r="U86" s="61"/>
      <c r="V86" s="61"/>
      <c r="W86" s="62">
        <v>0.25</v>
      </c>
      <c r="X86" s="63">
        <v>550</v>
      </c>
      <c r="Y86" s="62" t="str">
        <f t="shared" si="10"/>
        <v>LABOUR</v>
      </c>
      <c r="Z86" s="62">
        <f t="shared" si="11"/>
        <v>0</v>
      </c>
      <c r="AA86" s="63">
        <f t="shared" si="12"/>
        <v>0.25</v>
      </c>
      <c r="AB86" s="63">
        <f t="shared" si="15"/>
        <v>0</v>
      </c>
      <c r="AC86" s="62">
        <f t="shared" si="13"/>
        <v>550</v>
      </c>
      <c r="AD86" s="62" t="str">
        <f t="shared" si="9"/>
        <v>BOM - ENGINEERING</v>
      </c>
      <c r="AE86" s="64"/>
      <c r="AF86" s="65"/>
      <c r="AG86" s="20" t="s">
        <v>59</v>
      </c>
      <c r="AH86" s="29">
        <v>2842</v>
      </c>
      <c r="AI86" s="30">
        <v>45363</v>
      </c>
    </row>
    <row r="87" spans="1:35" x14ac:dyDescent="0.25">
      <c r="A87" s="66">
        <v>45377</v>
      </c>
      <c r="B87" s="81" t="s">
        <v>490</v>
      </c>
      <c r="C87" s="41" t="s">
        <v>491</v>
      </c>
      <c r="D87" s="41" t="s">
        <v>492</v>
      </c>
      <c r="E87" s="42">
        <v>45396</v>
      </c>
      <c r="F87" s="41" t="s">
        <v>493</v>
      </c>
      <c r="G87" s="43" t="s">
        <v>494</v>
      </c>
      <c r="H87" s="44">
        <v>1</v>
      </c>
      <c r="I87" s="41" t="s">
        <v>495</v>
      </c>
      <c r="J87">
        <v>808.55</v>
      </c>
      <c r="K87" s="58">
        <v>1033558</v>
      </c>
      <c r="L87" s="59" t="s">
        <v>496</v>
      </c>
      <c r="M87" s="59">
        <v>12.8</v>
      </c>
      <c r="N87" s="59">
        <v>100</v>
      </c>
      <c r="O87" s="60">
        <f t="shared" si="16"/>
        <v>1280</v>
      </c>
      <c r="P87" s="59" t="s">
        <v>182</v>
      </c>
      <c r="Q87" s="59" t="s">
        <v>58</v>
      </c>
      <c r="R87" s="61"/>
      <c r="S87" s="61"/>
      <c r="T87" s="61"/>
      <c r="U87" s="61"/>
      <c r="V87" s="61"/>
      <c r="W87" s="62">
        <v>10</v>
      </c>
      <c r="X87" s="63">
        <v>1750</v>
      </c>
      <c r="Y87" s="62" t="str">
        <f t="shared" si="10"/>
        <v>RL1790</v>
      </c>
      <c r="Z87" s="62" t="str">
        <f t="shared" si="11"/>
        <v>1/12LFP100PS</v>
      </c>
      <c r="AA87" s="63">
        <f t="shared" si="12"/>
        <v>10</v>
      </c>
      <c r="AB87" s="63">
        <f t="shared" si="15"/>
        <v>808.55</v>
      </c>
      <c r="AC87" s="62">
        <f t="shared" si="13"/>
        <v>1750</v>
      </c>
      <c r="AD87" s="62" t="str">
        <f t="shared" si="9"/>
        <v>88003-645</v>
      </c>
      <c r="AE87" s="64"/>
      <c r="AF87" s="65"/>
      <c r="AG87" s="20" t="s">
        <v>59</v>
      </c>
      <c r="AH87" s="29">
        <v>2337</v>
      </c>
      <c r="AI87" s="30">
        <v>45376</v>
      </c>
    </row>
    <row r="88" spans="1:35" x14ac:dyDescent="0.25">
      <c r="A88" s="56">
        <v>45386</v>
      </c>
      <c r="B88" s="57" t="s">
        <v>497</v>
      </c>
      <c r="C88" s="17"/>
      <c r="D88" s="17" t="s">
        <v>488</v>
      </c>
      <c r="E88" s="16">
        <v>45386</v>
      </c>
      <c r="F88" s="17" t="s">
        <v>467</v>
      </c>
      <c r="G88" s="18" t="s">
        <v>380</v>
      </c>
      <c r="H88" s="19">
        <v>1</v>
      </c>
      <c r="I88" s="17"/>
      <c r="J88" s="20">
        <v>0</v>
      </c>
      <c r="K88" s="58">
        <v>1034526</v>
      </c>
      <c r="L88" s="59"/>
      <c r="M88" s="59"/>
      <c r="N88" s="59"/>
      <c r="O88" s="60">
        <f t="shared" si="16"/>
        <v>0</v>
      </c>
      <c r="P88" s="59"/>
      <c r="Q88" s="59"/>
      <c r="R88" s="61"/>
      <c r="S88" s="61"/>
      <c r="T88" s="61"/>
      <c r="U88" s="61"/>
      <c r="V88" s="61"/>
      <c r="W88" s="62">
        <v>0.25</v>
      </c>
      <c r="X88" s="63">
        <v>30</v>
      </c>
      <c r="Y88" s="62" t="str">
        <f t="shared" si="10"/>
        <v>LABOUR</v>
      </c>
      <c r="Z88" s="62">
        <f t="shared" si="11"/>
        <v>0</v>
      </c>
      <c r="AA88" s="63">
        <f t="shared" si="12"/>
        <v>0.25</v>
      </c>
      <c r="AB88" s="63">
        <f t="shared" si="15"/>
        <v>0</v>
      </c>
      <c r="AC88" s="62">
        <f t="shared" si="13"/>
        <v>30</v>
      </c>
      <c r="AD88" s="62" t="str">
        <f t="shared" si="9"/>
        <v>BOM - ENGINEERING</v>
      </c>
      <c r="AE88" s="64"/>
      <c r="AF88" s="65"/>
      <c r="AG88" s="20" t="s">
        <v>59</v>
      </c>
      <c r="AH88" s="29">
        <v>2915</v>
      </c>
      <c r="AI88" s="30">
        <v>45386</v>
      </c>
    </row>
    <row r="89" spans="1:35" x14ac:dyDescent="0.25">
      <c r="A89" s="66">
        <v>45398</v>
      </c>
      <c r="B89" s="13" t="s">
        <v>498</v>
      </c>
      <c r="C89" s="17" t="s">
        <v>436</v>
      </c>
      <c r="D89" s="17" t="s">
        <v>499</v>
      </c>
      <c r="E89" s="16">
        <v>45412</v>
      </c>
      <c r="F89" s="17" t="s">
        <v>500</v>
      </c>
      <c r="G89" s="18" t="s">
        <v>501</v>
      </c>
      <c r="H89" s="19">
        <v>1</v>
      </c>
      <c r="I89" s="17" t="s">
        <v>243</v>
      </c>
      <c r="J89" s="20">
        <v>15.26</v>
      </c>
      <c r="K89" s="58">
        <v>1035866</v>
      </c>
      <c r="L89" s="59"/>
      <c r="M89" s="59">
        <v>10.8</v>
      </c>
      <c r="N89" s="59">
        <v>3.35</v>
      </c>
      <c r="O89" s="60">
        <f t="shared" si="16"/>
        <v>36.180000000000007</v>
      </c>
      <c r="P89" s="59" t="s">
        <v>139</v>
      </c>
      <c r="Q89" s="59" t="s">
        <v>98</v>
      </c>
      <c r="R89" s="61"/>
      <c r="S89" s="61"/>
      <c r="T89" s="61"/>
      <c r="U89" s="61"/>
      <c r="V89" s="61"/>
      <c r="W89" s="62">
        <v>0.25</v>
      </c>
      <c r="X89" s="63">
        <v>80.39</v>
      </c>
      <c r="Y89" s="62" t="str">
        <f t="shared" si="10"/>
        <v>L993</v>
      </c>
      <c r="Z89" s="62" t="str">
        <f t="shared" si="11"/>
        <v>3/NCR18650BF</v>
      </c>
      <c r="AA89" s="63">
        <f t="shared" si="12"/>
        <v>0.25</v>
      </c>
      <c r="AB89" s="63">
        <f t="shared" si="15"/>
        <v>15.26</v>
      </c>
      <c r="AC89" s="62">
        <f t="shared" si="13"/>
        <v>80.39</v>
      </c>
      <c r="AD89" s="62" t="str">
        <f t="shared" si="9"/>
        <v>22000-535F</v>
      </c>
      <c r="AE89" s="64"/>
      <c r="AF89" s="65"/>
      <c r="AG89" s="20" t="s">
        <v>445</v>
      </c>
      <c r="AH89" s="29">
        <v>23977</v>
      </c>
      <c r="AI89" s="30">
        <v>45398</v>
      </c>
    </row>
    <row r="90" spans="1:35" x14ac:dyDescent="0.25">
      <c r="A90" s="66">
        <v>45405</v>
      </c>
      <c r="B90" s="13" t="s">
        <v>502</v>
      </c>
      <c r="C90" s="17"/>
      <c r="D90" s="17" t="s">
        <v>488</v>
      </c>
      <c r="E90" s="16">
        <v>45404</v>
      </c>
      <c r="F90" s="17" t="s">
        <v>503</v>
      </c>
      <c r="G90" s="18" t="s">
        <v>380</v>
      </c>
      <c r="H90" s="19">
        <v>1</v>
      </c>
      <c r="I90" s="17" t="s">
        <v>381</v>
      </c>
      <c r="J90" s="20">
        <v>0</v>
      </c>
      <c r="K90" s="58">
        <v>1036553</v>
      </c>
      <c r="L90" s="59"/>
      <c r="M90" s="59"/>
      <c r="N90" s="59"/>
      <c r="O90" s="60">
        <f t="shared" si="16"/>
        <v>0</v>
      </c>
      <c r="P90" s="59"/>
      <c r="Q90" s="59"/>
      <c r="R90" s="61"/>
      <c r="S90" s="61"/>
      <c r="T90" s="61"/>
      <c r="U90" s="61"/>
      <c r="V90" s="61"/>
      <c r="W90" s="62">
        <v>0.25</v>
      </c>
      <c r="X90" s="63">
        <v>60</v>
      </c>
      <c r="Y90" s="62" t="str">
        <f t="shared" si="10"/>
        <v>LABOUR</v>
      </c>
      <c r="Z90" s="62">
        <f t="shared" si="11"/>
        <v>0</v>
      </c>
      <c r="AA90" s="63">
        <f t="shared" si="12"/>
        <v>0.25</v>
      </c>
      <c r="AB90" s="63">
        <f t="shared" si="15"/>
        <v>0</v>
      </c>
      <c r="AC90" s="62">
        <f t="shared" si="13"/>
        <v>60</v>
      </c>
      <c r="AD90" s="62" t="str">
        <f t="shared" si="9"/>
        <v>BOM - ENGINEERING</v>
      </c>
      <c r="AE90" s="64"/>
      <c r="AF90" s="65"/>
      <c r="AG90" s="20" t="s">
        <v>59</v>
      </c>
      <c r="AH90" s="29">
        <v>2102</v>
      </c>
      <c r="AI90" s="30">
        <v>45404</v>
      </c>
    </row>
    <row r="91" spans="1:35" x14ac:dyDescent="0.25">
      <c r="A91" s="66">
        <v>45412</v>
      </c>
      <c r="B91" s="13" t="s">
        <v>504</v>
      </c>
      <c r="C91" s="17" t="s">
        <v>505</v>
      </c>
      <c r="D91" s="17" t="s">
        <v>506</v>
      </c>
      <c r="E91" s="16">
        <v>45432</v>
      </c>
      <c r="F91" s="17" t="s">
        <v>507</v>
      </c>
      <c r="G91" s="18" t="s">
        <v>508</v>
      </c>
      <c r="H91" s="19">
        <v>20</v>
      </c>
      <c r="I91" s="17" t="s">
        <v>509</v>
      </c>
      <c r="J91" s="20">
        <v>35.42</v>
      </c>
      <c r="K91" s="58">
        <v>1037168</v>
      </c>
      <c r="L91" s="59"/>
      <c r="M91" s="59">
        <v>28.8</v>
      </c>
      <c r="N91" s="59">
        <v>3</v>
      </c>
      <c r="O91" s="60">
        <f t="shared" si="16"/>
        <v>86.4</v>
      </c>
      <c r="P91" s="59" t="s">
        <v>139</v>
      </c>
      <c r="Q91" s="59" t="s">
        <v>191</v>
      </c>
      <c r="R91" s="61"/>
      <c r="S91" s="61"/>
      <c r="T91" s="61"/>
      <c r="U91" s="61"/>
      <c r="V91" s="61"/>
      <c r="W91" s="62">
        <v>0.57999999999999996</v>
      </c>
      <c r="X91" s="63">
        <v>114</v>
      </c>
      <c r="Y91" s="62" t="str">
        <f t="shared" si="10"/>
        <v>RL44B</v>
      </c>
      <c r="Z91" s="62" t="str">
        <f t="shared" si="11"/>
        <v>8/INR18650-30Q</v>
      </c>
      <c r="AA91" s="63">
        <f t="shared" si="12"/>
        <v>0.57999999999999996</v>
      </c>
      <c r="AB91" s="63">
        <f t="shared" si="15"/>
        <v>35.42</v>
      </c>
      <c r="AC91" s="62">
        <f t="shared" si="13"/>
        <v>114</v>
      </c>
      <c r="AD91" s="62" t="str">
        <f t="shared" si="9"/>
        <v>67001-771</v>
      </c>
      <c r="AE91" s="64"/>
      <c r="AF91" s="65"/>
      <c r="AG91" s="20" t="s">
        <v>43</v>
      </c>
      <c r="AH91" s="29">
        <v>65443</v>
      </c>
      <c r="AI91" s="30">
        <v>45411</v>
      </c>
    </row>
    <row r="92" spans="1:35" x14ac:dyDescent="0.25">
      <c r="A92" s="72">
        <v>45419</v>
      </c>
      <c r="B92" s="73" t="s">
        <v>510</v>
      </c>
      <c r="C92" s="17" t="s">
        <v>349</v>
      </c>
      <c r="D92" s="17" t="s">
        <v>511</v>
      </c>
      <c r="E92" s="16">
        <v>45454</v>
      </c>
      <c r="F92" s="17" t="s">
        <v>230</v>
      </c>
      <c r="G92" s="18" t="s">
        <v>351</v>
      </c>
      <c r="H92" s="19">
        <v>5</v>
      </c>
      <c r="I92" s="17" t="s">
        <v>352</v>
      </c>
      <c r="J92" s="20">
        <v>8.2899999999999991</v>
      </c>
      <c r="K92" s="58">
        <v>1038126</v>
      </c>
      <c r="L92" s="59"/>
      <c r="M92" s="59">
        <v>3.7</v>
      </c>
      <c r="N92" s="59">
        <v>5.2</v>
      </c>
      <c r="O92" s="60">
        <f t="shared" si="16"/>
        <v>19.240000000000002</v>
      </c>
      <c r="P92" s="59" t="s">
        <v>139</v>
      </c>
      <c r="Q92" s="59" t="s">
        <v>131</v>
      </c>
      <c r="R92" s="61"/>
      <c r="S92" s="61"/>
      <c r="T92" s="61"/>
      <c r="U92" s="61"/>
      <c r="V92" s="61"/>
      <c r="W92" s="62">
        <v>0.74</v>
      </c>
      <c r="X92" s="63">
        <v>40</v>
      </c>
      <c r="Y92" s="62" t="str">
        <f t="shared" si="10"/>
        <v>RL621A</v>
      </c>
      <c r="Z92" s="62" t="str">
        <f t="shared" si="11"/>
        <v>2/UR18650ZY</v>
      </c>
      <c r="AA92" s="63">
        <f t="shared" si="12"/>
        <v>0.74</v>
      </c>
      <c r="AB92" s="63">
        <f t="shared" si="15"/>
        <v>8.2899999999999991</v>
      </c>
      <c r="AC92" s="62">
        <f t="shared" si="13"/>
        <v>40</v>
      </c>
      <c r="AD92" s="62" t="str">
        <f t="shared" si="9"/>
        <v>66000-493</v>
      </c>
      <c r="AE92" s="64"/>
      <c r="AF92" s="65"/>
      <c r="AG92" s="20" t="s">
        <v>43</v>
      </c>
      <c r="AH92" s="29">
        <v>66116</v>
      </c>
      <c r="AI92" s="30">
        <v>45419</v>
      </c>
    </row>
    <row r="93" spans="1:35" x14ac:dyDescent="0.25">
      <c r="A93" s="66">
        <v>45426</v>
      </c>
      <c r="B93" s="13" t="s">
        <v>512</v>
      </c>
      <c r="C93" s="17" t="s">
        <v>73</v>
      </c>
      <c r="D93" s="17" t="s">
        <v>513</v>
      </c>
      <c r="E93" s="16">
        <v>45440</v>
      </c>
      <c r="F93" s="17" t="s">
        <v>230</v>
      </c>
      <c r="G93" s="18" t="s">
        <v>514</v>
      </c>
      <c r="H93" s="19">
        <v>2</v>
      </c>
      <c r="I93" s="17" t="s">
        <v>515</v>
      </c>
      <c r="J93" s="20">
        <v>89.23</v>
      </c>
      <c r="K93" s="58">
        <v>1038748</v>
      </c>
      <c r="L93" s="59"/>
      <c r="M93" s="59"/>
      <c r="N93" s="59"/>
      <c r="O93" s="60">
        <f t="shared" si="16"/>
        <v>0</v>
      </c>
      <c r="P93" s="59"/>
      <c r="Q93" s="59"/>
      <c r="R93" s="61"/>
      <c r="S93" s="61"/>
      <c r="T93" s="61"/>
      <c r="U93" s="61"/>
      <c r="V93" s="61"/>
      <c r="W93" s="62">
        <v>0.57999999999999996</v>
      </c>
      <c r="X93" s="63">
        <v>164.55</v>
      </c>
      <c r="Y93" s="62" t="str">
        <f t="shared" si="10"/>
        <v>CH346</v>
      </c>
      <c r="Z93" s="62" t="str">
        <f t="shared" si="11"/>
        <v>TSB-002</v>
      </c>
      <c r="AA93" s="63">
        <f t="shared" si="12"/>
        <v>0.57999999999999996</v>
      </c>
      <c r="AB93" s="63">
        <f t="shared" si="15"/>
        <v>89.23</v>
      </c>
      <c r="AC93" s="62">
        <f t="shared" si="13"/>
        <v>164.55</v>
      </c>
      <c r="AD93" s="62" t="str">
        <f t="shared" si="9"/>
        <v>66001-230</v>
      </c>
      <c r="AE93" s="64"/>
      <c r="AF93" s="65"/>
      <c r="AG93" s="20" t="s">
        <v>43</v>
      </c>
      <c r="AH93" s="29">
        <v>66116</v>
      </c>
      <c r="AI93" s="30">
        <v>45425</v>
      </c>
    </row>
    <row r="94" spans="1:35" x14ac:dyDescent="0.25">
      <c r="A94" s="66">
        <v>45433</v>
      </c>
      <c r="B94" s="13" t="s">
        <v>516</v>
      </c>
      <c r="C94" s="17"/>
      <c r="D94" s="17" t="s">
        <v>517</v>
      </c>
      <c r="E94" s="16">
        <v>45440</v>
      </c>
      <c r="F94" s="17" t="s">
        <v>518</v>
      </c>
      <c r="G94" s="18" t="s">
        <v>519</v>
      </c>
      <c r="H94" s="19">
        <v>500</v>
      </c>
      <c r="I94" s="17" t="s">
        <v>520</v>
      </c>
      <c r="J94" s="20">
        <v>0.3</v>
      </c>
      <c r="K94" s="58">
        <v>1039742</v>
      </c>
      <c r="L94" s="59"/>
      <c r="M94" s="59"/>
      <c r="N94" s="59"/>
      <c r="O94" s="60">
        <f t="shared" si="16"/>
        <v>0</v>
      </c>
      <c r="P94" s="59"/>
      <c r="Q94" s="59"/>
      <c r="R94" s="61"/>
      <c r="S94" s="61"/>
      <c r="T94" s="61"/>
      <c r="U94" s="61"/>
      <c r="V94" s="61"/>
      <c r="W94" s="62">
        <v>0.25</v>
      </c>
      <c r="X94" s="63">
        <v>2.25</v>
      </c>
      <c r="Y94" s="62" t="str">
        <f t="shared" si="10"/>
        <v>HEATSHRINK</v>
      </c>
      <c r="Z94" s="62">
        <f t="shared" si="11"/>
        <v>0</v>
      </c>
      <c r="AA94" s="63">
        <f t="shared" si="12"/>
        <v>0.25</v>
      </c>
      <c r="AB94" s="63">
        <f t="shared" si="15"/>
        <v>0.3</v>
      </c>
      <c r="AC94" s="62">
        <f t="shared" si="13"/>
        <v>2.25</v>
      </c>
      <c r="AD94" s="62" t="str">
        <f t="shared" si="9"/>
        <v>65001-994</v>
      </c>
      <c r="AE94" s="64"/>
      <c r="AF94" s="65"/>
      <c r="AG94" s="20" t="s">
        <v>71</v>
      </c>
      <c r="AH94" s="29">
        <v>35409</v>
      </c>
      <c r="AI94" s="30">
        <v>45433</v>
      </c>
    </row>
    <row r="95" spans="1:35" x14ac:dyDescent="0.25">
      <c r="A95" s="56" t="s">
        <v>521</v>
      </c>
      <c r="B95" s="57" t="s">
        <v>521</v>
      </c>
      <c r="C95" s="17" t="s">
        <v>522</v>
      </c>
      <c r="D95" s="17" t="s">
        <v>448</v>
      </c>
      <c r="E95" s="16">
        <v>45458</v>
      </c>
      <c r="F95" s="17" t="s">
        <v>449</v>
      </c>
      <c r="G95" s="18" t="s">
        <v>450</v>
      </c>
      <c r="H95" s="19">
        <v>1</v>
      </c>
      <c r="I95" s="17" t="s">
        <v>451</v>
      </c>
      <c r="J95" s="19">
        <v>1047.6300000000001</v>
      </c>
      <c r="K95" s="58">
        <v>1040749</v>
      </c>
      <c r="L95" s="59"/>
      <c r="M95" s="59">
        <v>25.6</v>
      </c>
      <c r="N95" s="59">
        <v>132</v>
      </c>
      <c r="O95" s="60">
        <f t="shared" si="16"/>
        <v>3379.2000000000003</v>
      </c>
      <c r="P95" s="59" t="s">
        <v>182</v>
      </c>
      <c r="Q95" s="59" t="s">
        <v>523</v>
      </c>
      <c r="R95" s="61"/>
      <c r="S95" s="61"/>
      <c r="T95" s="61"/>
      <c r="U95" s="61"/>
      <c r="V95" s="61"/>
      <c r="W95" s="62">
        <v>2.2000000000000002</v>
      </c>
      <c r="X95" s="63">
        <v>2640</v>
      </c>
      <c r="Y95" s="62" t="str">
        <f t="shared" si="10"/>
        <v>RL1783</v>
      </c>
      <c r="Z95" s="62" t="str">
        <f t="shared" si="11"/>
        <v xml:space="preserve">264/IFR26650-40A </v>
      </c>
      <c r="AA95" s="63">
        <f t="shared" si="12"/>
        <v>2.2000000000000002</v>
      </c>
      <c r="AB95" s="63">
        <f t="shared" si="15"/>
        <v>1047.6300000000001</v>
      </c>
      <c r="AC95" s="62">
        <f t="shared" si="13"/>
        <v>2640</v>
      </c>
      <c r="AD95" s="62" t="str">
        <f t="shared" si="9"/>
        <v>67001-973</v>
      </c>
      <c r="AE95" s="64"/>
      <c r="AF95" s="65"/>
      <c r="AG95" s="20" t="s">
        <v>43</v>
      </c>
      <c r="AH95" s="29">
        <v>34455</v>
      </c>
      <c r="AI95" s="30">
        <v>45440</v>
      </c>
    </row>
    <row r="96" spans="1:35" x14ac:dyDescent="0.25">
      <c r="A96" s="71">
        <v>45453</v>
      </c>
      <c r="B96" s="37" t="s">
        <v>524</v>
      </c>
      <c r="C96" s="17" t="s">
        <v>525</v>
      </c>
      <c r="D96" s="17" t="s">
        <v>526</v>
      </c>
      <c r="E96" s="16">
        <v>45450</v>
      </c>
      <c r="F96" s="17" t="s">
        <v>527</v>
      </c>
      <c r="G96" s="18" t="s">
        <v>528</v>
      </c>
      <c r="H96" s="19">
        <v>2</v>
      </c>
      <c r="I96" s="17" t="s">
        <v>425</v>
      </c>
      <c r="J96" s="20">
        <v>57.93</v>
      </c>
      <c r="K96" s="58">
        <v>1041954</v>
      </c>
      <c r="L96" s="59"/>
      <c r="M96" s="59">
        <v>10.8</v>
      </c>
      <c r="N96" s="59">
        <v>17</v>
      </c>
      <c r="O96" s="60">
        <f t="shared" si="16"/>
        <v>183.60000000000002</v>
      </c>
      <c r="P96" s="59" t="s">
        <v>529</v>
      </c>
      <c r="Q96" s="59" t="s">
        <v>98</v>
      </c>
      <c r="R96" s="61"/>
      <c r="S96" s="61"/>
      <c r="T96" s="61"/>
      <c r="U96" s="61"/>
      <c r="V96" s="61"/>
      <c r="W96" s="62">
        <v>0.78</v>
      </c>
      <c r="X96" s="63">
        <v>130</v>
      </c>
      <c r="Y96" s="62" t="str">
        <f t="shared" si="10"/>
        <v>L593</v>
      </c>
      <c r="Z96" s="62" t="str">
        <f t="shared" si="11"/>
        <v>3/LS33600</v>
      </c>
      <c r="AA96" s="63">
        <f t="shared" si="12"/>
        <v>0.78</v>
      </c>
      <c r="AB96" s="63">
        <f t="shared" si="15"/>
        <v>57.93</v>
      </c>
      <c r="AC96" s="62">
        <f t="shared" si="13"/>
        <v>130</v>
      </c>
      <c r="AD96" s="62" t="str">
        <f t="shared" si="9"/>
        <v>66000-866B</v>
      </c>
      <c r="AE96" s="64"/>
      <c r="AF96" s="65"/>
      <c r="AG96" s="20" t="s">
        <v>71</v>
      </c>
      <c r="AH96" s="29">
        <v>1072</v>
      </c>
      <c r="AI96" s="30">
        <v>45450</v>
      </c>
    </row>
    <row r="97" spans="1:35" x14ac:dyDescent="0.25">
      <c r="A97" s="72">
        <v>45464</v>
      </c>
      <c r="B97" s="73" t="s">
        <v>530</v>
      </c>
      <c r="C97" s="17" t="s">
        <v>531</v>
      </c>
      <c r="D97" s="17" t="s">
        <v>532</v>
      </c>
      <c r="E97" s="16">
        <v>45471</v>
      </c>
      <c r="F97" s="17" t="s">
        <v>136</v>
      </c>
      <c r="G97" s="18" t="s">
        <v>533</v>
      </c>
      <c r="H97" s="19">
        <v>100</v>
      </c>
      <c r="I97" s="17" t="s">
        <v>534</v>
      </c>
      <c r="J97" s="20">
        <v>22.29</v>
      </c>
      <c r="K97" s="58">
        <v>1042796</v>
      </c>
      <c r="L97" s="59"/>
      <c r="M97" s="59">
        <v>12</v>
      </c>
      <c r="N97" s="59">
        <v>2.5</v>
      </c>
      <c r="O97" s="60">
        <f t="shared" si="16"/>
        <v>30</v>
      </c>
      <c r="P97" s="59" t="s">
        <v>154</v>
      </c>
      <c r="Q97" s="59" t="s">
        <v>155</v>
      </c>
      <c r="R97" s="61"/>
      <c r="S97" s="61"/>
      <c r="T97" s="61"/>
      <c r="U97" s="61"/>
      <c r="V97" s="61"/>
      <c r="W97" s="62">
        <v>0.2</v>
      </c>
      <c r="X97" s="63">
        <v>37</v>
      </c>
      <c r="Y97" s="62" t="str">
        <f t="shared" si="10"/>
        <v>N270</v>
      </c>
      <c r="Z97" s="62" t="str">
        <f t="shared" si="11"/>
        <v>10/HR-3UTHB</v>
      </c>
      <c r="AA97" s="63">
        <f t="shared" si="12"/>
        <v>0.2</v>
      </c>
      <c r="AB97" s="63">
        <f t="shared" si="15"/>
        <v>22.29</v>
      </c>
      <c r="AC97" s="62">
        <f t="shared" si="13"/>
        <v>37</v>
      </c>
      <c r="AD97" s="62" t="str">
        <f t="shared" si="9"/>
        <v>66000-337</v>
      </c>
      <c r="AE97" s="64"/>
      <c r="AF97" s="65"/>
      <c r="AG97" s="20" t="s">
        <v>43</v>
      </c>
      <c r="AH97" s="29">
        <v>24081</v>
      </c>
      <c r="AI97" s="30">
        <v>45460</v>
      </c>
    </row>
    <row r="98" spans="1:35" x14ac:dyDescent="0.25">
      <c r="A98" s="66">
        <v>45468</v>
      </c>
      <c r="B98" s="13" t="s">
        <v>535</v>
      </c>
      <c r="C98" s="17" t="s">
        <v>361</v>
      </c>
      <c r="D98" s="17" t="s">
        <v>362</v>
      </c>
      <c r="E98" s="16">
        <v>45496</v>
      </c>
      <c r="F98" s="17" t="s">
        <v>363</v>
      </c>
      <c r="G98" s="18" t="s">
        <v>364</v>
      </c>
      <c r="H98" s="19">
        <v>16</v>
      </c>
      <c r="I98" s="17" t="s">
        <v>224</v>
      </c>
      <c r="J98" s="20">
        <v>12.38</v>
      </c>
      <c r="K98" s="58">
        <v>1043862</v>
      </c>
      <c r="L98" s="59"/>
      <c r="M98" s="59">
        <v>22.2</v>
      </c>
      <c r="N98" s="59"/>
      <c r="O98" s="60">
        <f t="shared" si="16"/>
        <v>0</v>
      </c>
      <c r="P98" s="59" t="s">
        <v>225</v>
      </c>
      <c r="Q98" s="59" t="s">
        <v>536</v>
      </c>
      <c r="R98" s="61"/>
      <c r="S98" s="61"/>
      <c r="T98" s="61"/>
      <c r="U98" s="61"/>
      <c r="V98" s="61"/>
      <c r="W98" s="62">
        <v>1.78</v>
      </c>
      <c r="X98" s="63">
        <v>150</v>
      </c>
      <c r="Y98" s="62" t="str">
        <f t="shared" si="10"/>
        <v>AL317</v>
      </c>
      <c r="Z98" s="62" t="str">
        <f t="shared" si="11"/>
        <v>45/LR6XW</v>
      </c>
      <c r="AA98" s="63">
        <f t="shared" si="12"/>
        <v>1.78</v>
      </c>
      <c r="AB98" s="63">
        <f t="shared" si="15"/>
        <v>12.38</v>
      </c>
      <c r="AC98" s="62">
        <f t="shared" si="13"/>
        <v>150</v>
      </c>
      <c r="AD98" s="62" t="str">
        <f t="shared" si="9"/>
        <v>66000-633</v>
      </c>
      <c r="AE98" s="64"/>
      <c r="AF98" s="65"/>
      <c r="AG98" s="20" t="s">
        <v>71</v>
      </c>
      <c r="AH98" s="29">
        <v>27233</v>
      </c>
      <c r="AI98" s="30">
        <v>45468</v>
      </c>
    </row>
    <row r="99" spans="1:35" x14ac:dyDescent="0.25">
      <c r="A99" s="67">
        <v>45469</v>
      </c>
      <c r="B99" s="39" t="s">
        <v>537</v>
      </c>
      <c r="C99" s="17" t="s">
        <v>538</v>
      </c>
      <c r="D99" s="17" t="s">
        <v>260</v>
      </c>
      <c r="E99" s="16">
        <v>45469</v>
      </c>
      <c r="F99" s="17" t="s">
        <v>539</v>
      </c>
      <c r="G99" s="18" t="s">
        <v>540</v>
      </c>
      <c r="H99" s="19">
        <v>1</v>
      </c>
      <c r="I99" s="17" t="s">
        <v>541</v>
      </c>
      <c r="J99" s="20">
        <v>18.27</v>
      </c>
      <c r="K99" s="58">
        <v>1044097</v>
      </c>
      <c r="L99" s="59"/>
      <c r="M99" s="59">
        <v>7.2</v>
      </c>
      <c r="N99" s="59">
        <v>4</v>
      </c>
      <c r="O99" s="60">
        <f t="shared" si="16"/>
        <v>28.8</v>
      </c>
      <c r="P99" s="59" t="s">
        <v>154</v>
      </c>
      <c r="Q99" s="59" t="s">
        <v>90</v>
      </c>
      <c r="R99" s="61"/>
      <c r="S99" s="61"/>
      <c r="T99" s="61"/>
      <c r="U99" s="61"/>
      <c r="V99" s="61"/>
      <c r="W99" s="62">
        <v>0.25</v>
      </c>
      <c r="X99" s="63">
        <v>20</v>
      </c>
      <c r="Y99" s="62" t="str">
        <f t="shared" si="10"/>
        <v>RECELL</v>
      </c>
      <c r="Z99" s="62" t="str">
        <f t="shared" si="11"/>
        <v>6/HR-4/3AU</v>
      </c>
      <c r="AA99" s="63">
        <f t="shared" si="12"/>
        <v>0.25</v>
      </c>
      <c r="AB99" s="63">
        <f t="shared" si="15"/>
        <v>18.27</v>
      </c>
      <c r="AC99" s="62">
        <f t="shared" si="13"/>
        <v>20</v>
      </c>
      <c r="AD99" s="62" t="str">
        <f t="shared" si="9"/>
        <v>22000-348B</v>
      </c>
      <c r="AE99" s="64"/>
      <c r="AF99" s="65"/>
      <c r="AG99" s="20" t="s">
        <v>108</v>
      </c>
      <c r="AH99" s="29">
        <v>2</v>
      </c>
      <c r="AI99" s="30">
        <v>45469</v>
      </c>
    </row>
    <row r="100" spans="1:35" x14ac:dyDescent="0.25">
      <c r="A100" s="71">
        <v>45474</v>
      </c>
      <c r="B100" s="37" t="s">
        <v>542</v>
      </c>
      <c r="C100" s="17"/>
      <c r="D100" s="17" t="s">
        <v>126</v>
      </c>
      <c r="E100" s="16">
        <v>45625</v>
      </c>
      <c r="F100" s="17" t="s">
        <v>543</v>
      </c>
      <c r="G100" s="18" t="s">
        <v>128</v>
      </c>
      <c r="H100" s="19">
        <v>3</v>
      </c>
      <c r="I100" s="17" t="s">
        <v>129</v>
      </c>
      <c r="J100" s="20">
        <v>7444.83</v>
      </c>
      <c r="K100" s="58">
        <v>1044156</v>
      </c>
      <c r="L100" s="59"/>
      <c r="M100" s="59"/>
      <c r="N100" s="59"/>
      <c r="O100" s="60">
        <f t="shared" si="16"/>
        <v>0</v>
      </c>
      <c r="P100" s="59"/>
      <c r="Q100" s="59" t="s">
        <v>544</v>
      </c>
      <c r="R100" s="61"/>
      <c r="S100" s="61"/>
      <c r="T100" s="61"/>
      <c r="U100" s="61"/>
      <c r="V100" s="61"/>
      <c r="W100" s="62">
        <v>5</v>
      </c>
      <c r="X100" s="63">
        <v>15600</v>
      </c>
      <c r="Y100" s="62" t="str">
        <f t="shared" si="10"/>
        <v>N380</v>
      </c>
      <c r="Z100" s="62">
        <f t="shared" si="11"/>
        <v>0</v>
      </c>
      <c r="AA100" s="63">
        <f t="shared" si="12"/>
        <v>5</v>
      </c>
      <c r="AB100" s="63">
        <f t="shared" si="15"/>
        <v>7444.83</v>
      </c>
      <c r="AC100" s="62">
        <f t="shared" si="13"/>
        <v>15600</v>
      </c>
      <c r="AD100" s="62" t="str">
        <f t="shared" si="9"/>
        <v>66000-360</v>
      </c>
      <c r="AE100" s="64"/>
      <c r="AF100" s="65"/>
      <c r="AG100" s="20" t="s">
        <v>43</v>
      </c>
      <c r="AH100" s="29" t="s">
        <v>132</v>
      </c>
      <c r="AI100" s="30">
        <v>45469</v>
      </c>
    </row>
    <row r="101" spans="1:35" x14ac:dyDescent="0.25">
      <c r="A101" s="67">
        <v>45476</v>
      </c>
      <c r="B101" s="39" t="s">
        <v>545</v>
      </c>
      <c r="C101" s="17" t="s">
        <v>485</v>
      </c>
      <c r="D101" s="17" t="s">
        <v>546</v>
      </c>
      <c r="E101" s="16">
        <v>45489</v>
      </c>
      <c r="F101" s="17" t="s">
        <v>179</v>
      </c>
      <c r="G101" s="18" t="s">
        <v>547</v>
      </c>
      <c r="H101" s="19">
        <v>1</v>
      </c>
      <c r="I101" s="17" t="s">
        <v>472</v>
      </c>
      <c r="J101" s="20">
        <v>16.809999999999999</v>
      </c>
      <c r="K101" s="58">
        <v>1044742</v>
      </c>
      <c r="L101" s="59"/>
      <c r="M101" s="59">
        <v>14.4</v>
      </c>
      <c r="N101" s="59">
        <v>3.18</v>
      </c>
      <c r="O101" s="60">
        <f t="shared" si="16"/>
        <v>45.792000000000002</v>
      </c>
      <c r="P101" s="59" t="s">
        <v>139</v>
      </c>
      <c r="Q101" s="59" t="s">
        <v>270</v>
      </c>
      <c r="R101" s="61"/>
      <c r="S101" s="61"/>
      <c r="T101" s="61"/>
      <c r="U101" s="61"/>
      <c r="V101" s="61"/>
      <c r="W101" s="62">
        <v>0.5</v>
      </c>
      <c r="X101" s="63">
        <v>80</v>
      </c>
      <c r="Y101" s="62" t="str">
        <f t="shared" si="10"/>
        <v>RL1845</v>
      </c>
      <c r="Z101" s="62" t="str">
        <f t="shared" si="11"/>
        <v>4/NCR18650BD</v>
      </c>
      <c r="AA101" s="63">
        <f t="shared" si="12"/>
        <v>0.5</v>
      </c>
      <c r="AB101" s="63">
        <f t="shared" si="15"/>
        <v>16.809999999999999</v>
      </c>
      <c r="AC101" s="62">
        <f t="shared" si="13"/>
        <v>80</v>
      </c>
      <c r="AD101" s="62" t="str">
        <f t="shared" si="9"/>
        <v>66003-280</v>
      </c>
      <c r="AE101" s="64"/>
      <c r="AF101" s="65"/>
      <c r="AG101" s="20" t="s">
        <v>445</v>
      </c>
      <c r="AH101" s="29" t="s">
        <v>184</v>
      </c>
      <c r="AI101" s="30">
        <v>45475</v>
      </c>
    </row>
    <row r="102" spans="1:35" x14ac:dyDescent="0.25">
      <c r="A102" s="75">
        <v>45492</v>
      </c>
      <c r="B102" s="76" t="s">
        <v>548</v>
      </c>
      <c r="C102" s="17" t="s">
        <v>549</v>
      </c>
      <c r="D102" s="17" t="s">
        <v>550</v>
      </c>
      <c r="E102" s="16">
        <v>45506</v>
      </c>
      <c r="F102" s="17" t="s">
        <v>164</v>
      </c>
      <c r="G102" s="18" t="s">
        <v>551</v>
      </c>
      <c r="H102" s="19">
        <v>1</v>
      </c>
      <c r="I102" s="17" t="s">
        <v>352</v>
      </c>
      <c r="J102" s="20">
        <v>26.42</v>
      </c>
      <c r="K102" s="58">
        <v>1046751</v>
      </c>
      <c r="L102" s="59"/>
      <c r="M102" s="59">
        <v>7.2</v>
      </c>
      <c r="N102" s="59">
        <v>7.8</v>
      </c>
      <c r="O102" s="60">
        <f t="shared" si="16"/>
        <v>56.16</v>
      </c>
      <c r="P102" s="59" t="s">
        <v>139</v>
      </c>
      <c r="Q102" s="59" t="s">
        <v>552</v>
      </c>
      <c r="R102" s="61"/>
      <c r="S102" s="61"/>
      <c r="T102" s="61"/>
      <c r="U102" s="61"/>
      <c r="V102" s="61"/>
      <c r="W102" s="62">
        <v>0.92</v>
      </c>
      <c r="X102" s="63">
        <v>140</v>
      </c>
      <c r="Y102" s="62" t="str">
        <f t="shared" si="10"/>
        <v>RL323</v>
      </c>
      <c r="Z102" s="62" t="str">
        <f t="shared" si="11"/>
        <v>6/UR18650ZY</v>
      </c>
      <c r="AA102" s="63">
        <f t="shared" si="12"/>
        <v>0.92</v>
      </c>
      <c r="AB102" s="63">
        <f t="shared" si="15"/>
        <v>26.42</v>
      </c>
      <c r="AC102" s="62">
        <f t="shared" si="13"/>
        <v>140</v>
      </c>
      <c r="AD102" s="62" t="str">
        <f t="shared" si="9"/>
        <v>66000-562</v>
      </c>
      <c r="AE102" s="64"/>
      <c r="AF102" s="65"/>
      <c r="AG102" s="20" t="s">
        <v>445</v>
      </c>
      <c r="AH102" s="29" t="s">
        <v>166</v>
      </c>
      <c r="AI102" s="30">
        <v>45492</v>
      </c>
    </row>
    <row r="103" spans="1:35" x14ac:dyDescent="0.25">
      <c r="A103" s="71">
        <v>45509</v>
      </c>
      <c r="B103" s="37" t="s">
        <v>553</v>
      </c>
      <c r="C103" s="17" t="s">
        <v>554</v>
      </c>
      <c r="D103" s="17" t="s">
        <v>555</v>
      </c>
      <c r="E103" s="16">
        <v>45519</v>
      </c>
      <c r="F103" s="17" t="s">
        <v>80</v>
      </c>
      <c r="G103" s="18" t="s">
        <v>556</v>
      </c>
      <c r="H103" s="19">
        <v>5</v>
      </c>
      <c r="I103" s="17" t="s">
        <v>88</v>
      </c>
      <c r="J103" s="20">
        <v>33.35</v>
      </c>
      <c r="K103" s="58">
        <v>1048339</v>
      </c>
      <c r="L103" s="59"/>
      <c r="M103" s="59">
        <v>8.4</v>
      </c>
      <c r="N103" s="59">
        <v>4.5</v>
      </c>
      <c r="O103" s="60">
        <f t="shared" si="16"/>
        <v>37.800000000000004</v>
      </c>
      <c r="P103" s="59" t="s">
        <v>154</v>
      </c>
      <c r="Q103" s="59" t="s">
        <v>557</v>
      </c>
      <c r="R103" s="61"/>
      <c r="S103" s="61"/>
      <c r="T103" s="61"/>
      <c r="U103" s="61"/>
      <c r="V103" s="61"/>
      <c r="W103" s="62">
        <v>0.82</v>
      </c>
      <c r="X103" s="63">
        <v>75</v>
      </c>
      <c r="Y103" s="62" t="str">
        <f t="shared" si="10"/>
        <v>N1387A</v>
      </c>
      <c r="Z103" s="62" t="str">
        <f t="shared" si="11"/>
        <v>7/MH-C4500HT</v>
      </c>
      <c r="AA103" s="63">
        <f t="shared" si="12"/>
        <v>0.82</v>
      </c>
      <c r="AB103" s="63">
        <f t="shared" si="15"/>
        <v>33.35</v>
      </c>
      <c r="AC103" s="62">
        <f t="shared" si="13"/>
        <v>75</v>
      </c>
      <c r="AD103" s="62" t="str">
        <f t="shared" si="9"/>
        <v>67001-425</v>
      </c>
      <c r="AE103" s="64"/>
      <c r="AF103" s="65"/>
      <c r="AG103" s="20" t="s">
        <v>43</v>
      </c>
      <c r="AH103" s="29">
        <v>65616</v>
      </c>
      <c r="AI103" s="30">
        <v>45506</v>
      </c>
    </row>
    <row r="104" spans="1:35" x14ac:dyDescent="0.25">
      <c r="A104" s="66">
        <v>45510</v>
      </c>
      <c r="B104" s="13" t="s">
        <v>558</v>
      </c>
      <c r="C104" s="17" t="s">
        <v>559</v>
      </c>
      <c r="D104" s="17" t="s">
        <v>480</v>
      </c>
      <c r="E104" s="16">
        <v>45509</v>
      </c>
      <c r="F104" s="17" t="s">
        <v>481</v>
      </c>
      <c r="G104" s="18" t="s">
        <v>482</v>
      </c>
      <c r="H104" s="19">
        <v>1000</v>
      </c>
      <c r="I104" s="17" t="s">
        <v>483</v>
      </c>
      <c r="J104" s="20">
        <v>78.569999999999993</v>
      </c>
      <c r="K104" s="58">
        <v>1048517</v>
      </c>
      <c r="L104" s="59"/>
      <c r="M104" s="59">
        <v>3.93</v>
      </c>
      <c r="N104" s="59">
        <v>32</v>
      </c>
      <c r="O104" s="60">
        <f t="shared" si="16"/>
        <v>125.76</v>
      </c>
      <c r="P104" s="59" t="s">
        <v>560</v>
      </c>
      <c r="Q104" s="59" t="s">
        <v>42</v>
      </c>
      <c r="R104" s="61"/>
      <c r="S104" s="61"/>
      <c r="T104" s="61"/>
      <c r="U104" s="61"/>
      <c r="V104" s="61"/>
      <c r="W104" s="62">
        <v>0.06</v>
      </c>
      <c r="X104" s="63">
        <v>112.5</v>
      </c>
      <c r="Y104" s="62" t="str">
        <f t="shared" si="10"/>
        <v>L865</v>
      </c>
      <c r="Z104" s="62" t="str">
        <f t="shared" si="11"/>
        <v>1/LXRDD-5-1-SC-BC</v>
      </c>
      <c r="AA104" s="63">
        <f t="shared" si="12"/>
        <v>0.06</v>
      </c>
      <c r="AB104" s="63">
        <f t="shared" si="15"/>
        <v>78.569999999999993</v>
      </c>
      <c r="AC104" s="62">
        <f t="shared" si="13"/>
        <v>112.5</v>
      </c>
      <c r="AD104" s="62" t="str">
        <f t="shared" si="9"/>
        <v>67001-3486L865</v>
      </c>
      <c r="AE104" s="64"/>
      <c r="AF104" s="65"/>
      <c r="AG104" s="20" t="s">
        <v>43</v>
      </c>
      <c r="AH104" s="29">
        <v>1926</v>
      </c>
      <c r="AI104" s="30">
        <v>45509</v>
      </c>
    </row>
    <row r="105" spans="1:35" x14ac:dyDescent="0.25">
      <c r="A105" s="66">
        <v>45524</v>
      </c>
      <c r="B105" s="13" t="s">
        <v>561</v>
      </c>
      <c r="C105" s="17" t="s">
        <v>562</v>
      </c>
      <c r="D105" s="17" t="s">
        <v>563</v>
      </c>
      <c r="E105" s="16">
        <v>45537</v>
      </c>
      <c r="F105" s="17" t="s">
        <v>564</v>
      </c>
      <c r="G105" s="18" t="s">
        <v>565</v>
      </c>
      <c r="H105" s="19">
        <v>2</v>
      </c>
      <c r="I105" s="17" t="s">
        <v>352</v>
      </c>
      <c r="J105" s="20">
        <v>137.12</v>
      </c>
      <c r="K105" s="58">
        <v>1049507</v>
      </c>
      <c r="L105" s="59"/>
      <c r="M105" s="59">
        <v>22.2</v>
      </c>
      <c r="N105" s="59">
        <v>5</v>
      </c>
      <c r="O105" s="60">
        <f t="shared" si="16"/>
        <v>111</v>
      </c>
      <c r="P105" s="59" t="s">
        <v>139</v>
      </c>
      <c r="Q105" s="59" t="s">
        <v>566</v>
      </c>
      <c r="R105" s="61"/>
      <c r="S105" s="61"/>
      <c r="T105" s="61"/>
      <c r="U105" s="61"/>
      <c r="V105" s="61"/>
      <c r="W105" s="62">
        <v>3.82</v>
      </c>
      <c r="X105" s="63">
        <v>500</v>
      </c>
      <c r="Y105" s="62" t="str">
        <f t="shared" si="10"/>
        <v>RL363</v>
      </c>
      <c r="Z105" s="62" t="str">
        <f t="shared" si="11"/>
        <v>12/UR18650ZY</v>
      </c>
      <c r="AA105" s="63">
        <f t="shared" si="12"/>
        <v>3.82</v>
      </c>
      <c r="AB105" s="63">
        <f t="shared" si="15"/>
        <v>137.12</v>
      </c>
      <c r="AC105" s="62">
        <f t="shared" si="13"/>
        <v>500</v>
      </c>
      <c r="AD105" s="62" t="str">
        <f t="shared" si="9"/>
        <v>66000-639</v>
      </c>
      <c r="AE105" s="64"/>
      <c r="AF105" s="65"/>
      <c r="AG105" s="20" t="s">
        <v>59</v>
      </c>
      <c r="AH105" s="29">
        <v>1333</v>
      </c>
      <c r="AI105" s="30">
        <v>45517</v>
      </c>
    </row>
    <row r="106" spans="1:35" x14ac:dyDescent="0.25">
      <c r="A106" s="71">
        <v>45530</v>
      </c>
      <c r="B106" s="37" t="s">
        <v>567</v>
      </c>
      <c r="C106" s="17" t="s">
        <v>568</v>
      </c>
      <c r="D106" s="17" t="s">
        <v>569</v>
      </c>
      <c r="E106" s="16">
        <v>45489</v>
      </c>
      <c r="F106" s="17" t="s">
        <v>570</v>
      </c>
      <c r="G106" s="18" t="s">
        <v>571</v>
      </c>
      <c r="H106" s="19">
        <v>1</v>
      </c>
      <c r="I106" s="17" t="s">
        <v>374</v>
      </c>
      <c r="J106" s="20">
        <v>38.25</v>
      </c>
      <c r="K106" s="58">
        <v>1046643</v>
      </c>
      <c r="L106" s="59"/>
      <c r="M106" s="59">
        <v>18</v>
      </c>
      <c r="N106" s="59">
        <v>2.5</v>
      </c>
      <c r="O106" s="60">
        <f t="shared" si="16"/>
        <v>45</v>
      </c>
      <c r="P106" s="59" t="s">
        <v>130</v>
      </c>
      <c r="Q106" s="59" t="s">
        <v>572</v>
      </c>
      <c r="R106" s="61"/>
      <c r="S106" s="61"/>
      <c r="T106" s="61"/>
      <c r="U106" s="61"/>
      <c r="V106" s="61"/>
      <c r="W106" s="62">
        <v>1.2</v>
      </c>
      <c r="X106" s="63">
        <v>90</v>
      </c>
      <c r="Y106" s="62" t="str">
        <f t="shared" si="10"/>
        <v>RECELL259</v>
      </c>
      <c r="Z106" s="62" t="str">
        <f t="shared" si="11"/>
        <v>15/NC2500SCR</v>
      </c>
      <c r="AA106" s="63">
        <f t="shared" si="12"/>
        <v>1.2</v>
      </c>
      <c r="AB106" s="63">
        <f t="shared" si="15"/>
        <v>38.25</v>
      </c>
      <c r="AC106" s="62">
        <f t="shared" si="13"/>
        <v>90</v>
      </c>
      <c r="AD106" s="62" t="str">
        <f t="shared" si="9"/>
        <v>22000-446I</v>
      </c>
      <c r="AE106" s="64"/>
      <c r="AF106" s="65"/>
      <c r="AG106" s="20" t="s">
        <v>445</v>
      </c>
      <c r="AH106" s="29">
        <v>23948</v>
      </c>
      <c r="AI106" s="30">
        <v>45475</v>
      </c>
    </row>
    <row r="107" spans="1:35" x14ac:dyDescent="0.25">
      <c r="A107" s="71">
        <v>45537</v>
      </c>
      <c r="B107" s="37" t="s">
        <v>573</v>
      </c>
      <c r="C107" s="17" t="s">
        <v>554</v>
      </c>
      <c r="D107" s="17" t="s">
        <v>574</v>
      </c>
      <c r="E107" s="16">
        <v>45576</v>
      </c>
      <c r="F107" s="17" t="s">
        <v>575</v>
      </c>
      <c r="G107" s="18" t="s">
        <v>576</v>
      </c>
      <c r="H107" s="19">
        <v>152</v>
      </c>
      <c r="I107" s="17" t="s">
        <v>88</v>
      </c>
      <c r="J107" s="20">
        <v>33.26</v>
      </c>
      <c r="K107" s="58">
        <v>1051482</v>
      </c>
      <c r="L107" s="59"/>
      <c r="M107" s="59">
        <v>8.4</v>
      </c>
      <c r="N107" s="59">
        <v>4.5</v>
      </c>
      <c r="O107" s="60">
        <f t="shared" si="16"/>
        <v>37.800000000000004</v>
      </c>
      <c r="P107" s="59" t="s">
        <v>154</v>
      </c>
      <c r="Q107" s="59" t="s">
        <v>557</v>
      </c>
      <c r="R107" s="61"/>
      <c r="S107" s="61"/>
      <c r="T107" s="61"/>
      <c r="U107" s="61"/>
      <c r="V107" s="61"/>
      <c r="W107" s="62">
        <v>0.35</v>
      </c>
      <c r="X107" s="63">
        <v>56</v>
      </c>
      <c r="Y107" s="62" t="str">
        <f t="shared" si="10"/>
        <v>N1387</v>
      </c>
      <c r="Z107" s="62" t="str">
        <f t="shared" si="11"/>
        <v>7/MH-C4500HT</v>
      </c>
      <c r="AA107" s="63">
        <f t="shared" si="12"/>
        <v>0.35</v>
      </c>
      <c r="AB107" s="63">
        <f t="shared" si="15"/>
        <v>33.26</v>
      </c>
      <c r="AC107" s="62">
        <f t="shared" si="13"/>
        <v>56</v>
      </c>
      <c r="AD107" s="62" t="str">
        <f t="shared" ref="AD107:AD170" si="17">G107</f>
        <v>66000-909</v>
      </c>
      <c r="AE107" s="64"/>
      <c r="AF107" s="65"/>
      <c r="AG107" s="20" t="s">
        <v>43</v>
      </c>
      <c r="AH107" s="29">
        <v>2906</v>
      </c>
      <c r="AI107" s="30">
        <v>45537</v>
      </c>
    </row>
    <row r="108" spans="1:35" x14ac:dyDescent="0.25">
      <c r="A108" s="56">
        <v>45561</v>
      </c>
      <c r="B108" s="57" t="s">
        <v>577</v>
      </c>
      <c r="C108" s="17"/>
      <c r="D108" s="17" t="s">
        <v>488</v>
      </c>
      <c r="E108" s="16">
        <v>45574</v>
      </c>
      <c r="F108" s="17" t="s">
        <v>578</v>
      </c>
      <c r="G108" s="18" t="s">
        <v>380</v>
      </c>
      <c r="H108" s="19">
        <v>3</v>
      </c>
      <c r="I108" s="17" t="s">
        <v>213</v>
      </c>
      <c r="J108" s="20">
        <v>38.69</v>
      </c>
      <c r="K108" s="58">
        <v>1054144</v>
      </c>
      <c r="L108" s="59"/>
      <c r="M108" s="59"/>
      <c r="N108" s="59"/>
      <c r="O108" s="60">
        <f t="shared" si="16"/>
        <v>0</v>
      </c>
      <c r="P108" s="59"/>
      <c r="Q108" s="59"/>
      <c r="R108" s="61"/>
      <c r="S108" s="61"/>
      <c r="T108" s="61"/>
      <c r="U108" s="61"/>
      <c r="V108" s="61"/>
      <c r="W108" s="62">
        <v>0.25</v>
      </c>
      <c r="X108" s="63">
        <v>90</v>
      </c>
      <c r="Y108" s="62" t="str">
        <f t="shared" si="10"/>
        <v>LABOUR</v>
      </c>
      <c r="Z108" s="62">
        <f t="shared" si="11"/>
        <v>0</v>
      </c>
      <c r="AA108" s="63">
        <f t="shared" si="12"/>
        <v>0.25</v>
      </c>
      <c r="AB108" s="63">
        <f t="shared" si="15"/>
        <v>38.69</v>
      </c>
      <c r="AC108" s="62">
        <f t="shared" si="13"/>
        <v>90</v>
      </c>
      <c r="AD108" s="62" t="str">
        <f t="shared" si="17"/>
        <v>BOM - ENGINEERING</v>
      </c>
      <c r="AE108" s="64"/>
      <c r="AF108" s="65"/>
      <c r="AG108" s="20" t="s">
        <v>445</v>
      </c>
      <c r="AH108" s="29">
        <v>1749</v>
      </c>
      <c r="AI108" s="30">
        <v>45560</v>
      </c>
    </row>
    <row r="109" spans="1:35" x14ac:dyDescent="0.25">
      <c r="A109" s="56">
        <v>45561</v>
      </c>
      <c r="B109" s="57" t="s">
        <v>579</v>
      </c>
      <c r="C109" s="17" t="s">
        <v>580</v>
      </c>
      <c r="D109" s="17" t="s">
        <v>581</v>
      </c>
      <c r="E109" s="16">
        <v>45580</v>
      </c>
      <c r="F109" s="17" t="s">
        <v>334</v>
      </c>
      <c r="G109" s="18" t="s">
        <v>582</v>
      </c>
      <c r="H109" s="19">
        <v>40</v>
      </c>
      <c r="I109" s="17" t="s">
        <v>583</v>
      </c>
      <c r="J109" s="20">
        <v>95.89</v>
      </c>
      <c r="K109" s="58">
        <v>1053963</v>
      </c>
      <c r="L109" s="59"/>
      <c r="M109" s="59">
        <v>19.2</v>
      </c>
      <c r="N109" s="59">
        <v>4.5</v>
      </c>
      <c r="O109" s="60">
        <f t="shared" si="16"/>
        <v>86.399999999999991</v>
      </c>
      <c r="P109" s="59" t="s">
        <v>154</v>
      </c>
      <c r="Q109" s="59" t="s">
        <v>584</v>
      </c>
      <c r="R109" s="61"/>
      <c r="S109" s="61"/>
      <c r="T109" s="61"/>
      <c r="U109" s="61"/>
      <c r="V109" s="61"/>
      <c r="W109" s="62">
        <v>0.94</v>
      </c>
      <c r="X109" s="63">
        <v>195</v>
      </c>
      <c r="Y109" s="62" t="str">
        <f t="shared" si="10"/>
        <v>N1021</v>
      </c>
      <c r="Z109" s="62" t="str">
        <f t="shared" si="11"/>
        <v>16/HR4/3FAU</v>
      </c>
      <c r="AA109" s="63">
        <f t="shared" si="12"/>
        <v>0.94</v>
      </c>
      <c r="AB109" s="63">
        <f t="shared" si="15"/>
        <v>95.89</v>
      </c>
      <c r="AC109" s="62">
        <f t="shared" si="13"/>
        <v>195</v>
      </c>
      <c r="AD109" s="62" t="str">
        <f t="shared" si="17"/>
        <v>66000-725</v>
      </c>
      <c r="AE109" s="64"/>
      <c r="AF109" s="65"/>
      <c r="AG109" s="20" t="s">
        <v>43</v>
      </c>
      <c r="AH109" s="29">
        <v>66824</v>
      </c>
      <c r="AI109" s="30">
        <v>45559</v>
      </c>
    </row>
    <row r="110" spans="1:35" x14ac:dyDescent="0.25">
      <c r="A110" s="72">
        <v>45590</v>
      </c>
      <c r="B110" s="73" t="s">
        <v>585</v>
      </c>
      <c r="C110" s="17" t="s">
        <v>586</v>
      </c>
      <c r="D110" s="17" t="s">
        <v>587</v>
      </c>
      <c r="E110" s="16">
        <v>45588</v>
      </c>
      <c r="F110" s="17"/>
      <c r="G110" s="18" t="s">
        <v>588</v>
      </c>
      <c r="H110" s="19">
        <v>4</v>
      </c>
      <c r="I110" s="17" t="s">
        <v>358</v>
      </c>
      <c r="J110" s="20">
        <v>79.959999999999994</v>
      </c>
      <c r="K110" s="58"/>
      <c r="L110" s="59"/>
      <c r="M110" s="59">
        <v>13.5</v>
      </c>
      <c r="N110" s="59"/>
      <c r="O110" s="60">
        <f t="shared" si="16"/>
        <v>0</v>
      </c>
      <c r="P110" s="59" t="s">
        <v>225</v>
      </c>
      <c r="Q110" s="59" t="s">
        <v>589</v>
      </c>
      <c r="R110" s="61"/>
      <c r="S110" s="61"/>
      <c r="T110" s="61"/>
      <c r="U110" s="61"/>
      <c r="V110" s="61"/>
      <c r="W110" s="62">
        <v>2.57</v>
      </c>
      <c r="X110" s="63">
        <v>360</v>
      </c>
      <c r="Y110" s="62" t="str">
        <f t="shared" si="10"/>
        <v>AL123D</v>
      </c>
      <c r="Z110" s="62" t="str">
        <f t="shared" si="11"/>
        <v>72/LR20XW</v>
      </c>
      <c r="AA110" s="63">
        <f t="shared" si="12"/>
        <v>2.57</v>
      </c>
      <c r="AB110" s="63">
        <f t="shared" si="15"/>
        <v>79.959999999999994</v>
      </c>
      <c r="AC110" s="62">
        <f t="shared" si="13"/>
        <v>360</v>
      </c>
      <c r="AD110" s="62" t="str">
        <f t="shared" si="17"/>
        <v>66000-182</v>
      </c>
      <c r="AE110" s="64"/>
      <c r="AF110" s="65"/>
      <c r="AG110" s="20" t="s">
        <v>119</v>
      </c>
      <c r="AH110" s="29"/>
      <c r="AI110" s="30">
        <v>45589</v>
      </c>
    </row>
    <row r="111" spans="1:35" x14ac:dyDescent="0.25">
      <c r="A111" s="71">
        <v>45593</v>
      </c>
      <c r="B111" s="37" t="s">
        <v>590</v>
      </c>
      <c r="C111" s="17" t="s">
        <v>591</v>
      </c>
      <c r="D111" s="17" t="s">
        <v>592</v>
      </c>
      <c r="E111" s="16">
        <v>45674</v>
      </c>
      <c r="F111" s="17" t="s">
        <v>80</v>
      </c>
      <c r="G111" s="18" t="s">
        <v>593</v>
      </c>
      <c r="H111" s="19">
        <v>150</v>
      </c>
      <c r="I111" s="17" t="s">
        <v>82</v>
      </c>
      <c r="J111" s="20">
        <v>14.07</v>
      </c>
      <c r="K111" s="58">
        <v>1057272</v>
      </c>
      <c r="L111" s="59"/>
      <c r="M111" s="59">
        <v>10.8</v>
      </c>
      <c r="N111" s="59">
        <v>2.6</v>
      </c>
      <c r="O111" s="60">
        <f t="shared" si="16"/>
        <v>28.080000000000002</v>
      </c>
      <c r="P111" s="59" t="s">
        <v>529</v>
      </c>
      <c r="Q111" s="59" t="s">
        <v>98</v>
      </c>
      <c r="R111" s="61"/>
      <c r="S111" s="61"/>
      <c r="T111" s="61"/>
      <c r="U111" s="61"/>
      <c r="V111" s="61"/>
      <c r="W111" s="62">
        <v>0.26</v>
      </c>
      <c r="X111" s="63">
        <v>40</v>
      </c>
      <c r="Y111" s="62" t="str">
        <f t="shared" si="10"/>
        <v>L300</v>
      </c>
      <c r="Z111" s="62" t="str">
        <f t="shared" si="11"/>
        <v>3/LS14500</v>
      </c>
      <c r="AA111" s="63">
        <f t="shared" si="12"/>
        <v>0.26</v>
      </c>
      <c r="AB111" s="63">
        <f t="shared" si="15"/>
        <v>14.07</v>
      </c>
      <c r="AC111" s="62">
        <f t="shared" si="13"/>
        <v>40</v>
      </c>
      <c r="AD111" s="62" t="str">
        <f t="shared" si="17"/>
        <v>65000-765A</v>
      </c>
      <c r="AE111" s="64"/>
      <c r="AF111" s="65"/>
      <c r="AG111" s="20" t="s">
        <v>43</v>
      </c>
      <c r="AH111" s="29">
        <v>65616</v>
      </c>
      <c r="AI111" s="30">
        <v>45590</v>
      </c>
    </row>
    <row r="112" spans="1:35" x14ac:dyDescent="0.25">
      <c r="A112" s="71">
        <v>45593</v>
      </c>
      <c r="B112" s="37" t="s">
        <v>594</v>
      </c>
      <c r="C112" s="17" t="s">
        <v>554</v>
      </c>
      <c r="D112" s="17" t="s">
        <v>574</v>
      </c>
      <c r="E112" s="16">
        <v>45674</v>
      </c>
      <c r="F112" s="17" t="s">
        <v>80</v>
      </c>
      <c r="G112" s="18" t="s">
        <v>576</v>
      </c>
      <c r="H112" s="19">
        <v>100</v>
      </c>
      <c r="I112" s="17" t="s">
        <v>88</v>
      </c>
      <c r="J112" s="20">
        <v>32.659999999999997</v>
      </c>
      <c r="K112" s="58">
        <v>1057272</v>
      </c>
      <c r="L112" s="59"/>
      <c r="M112" s="59">
        <v>8.4</v>
      </c>
      <c r="N112" s="59">
        <v>4.5</v>
      </c>
      <c r="O112" s="60">
        <f t="shared" si="16"/>
        <v>37.800000000000004</v>
      </c>
      <c r="P112" s="59" t="s">
        <v>154</v>
      </c>
      <c r="Q112" s="59" t="s">
        <v>557</v>
      </c>
      <c r="R112" s="61"/>
      <c r="S112" s="61"/>
      <c r="T112" s="61"/>
      <c r="U112" s="61"/>
      <c r="V112" s="61"/>
      <c r="W112" s="62">
        <v>0.35</v>
      </c>
      <c r="X112" s="63">
        <v>54</v>
      </c>
      <c r="Y112" s="62" t="str">
        <f t="shared" si="10"/>
        <v>N1387</v>
      </c>
      <c r="Z112" s="62" t="str">
        <f t="shared" si="11"/>
        <v>7/MH-C4500HT</v>
      </c>
      <c r="AA112" s="63">
        <f t="shared" si="12"/>
        <v>0.35</v>
      </c>
      <c r="AB112" s="63">
        <f t="shared" si="15"/>
        <v>32.659999999999997</v>
      </c>
      <c r="AC112" s="62">
        <f t="shared" si="13"/>
        <v>54</v>
      </c>
      <c r="AD112" s="62" t="str">
        <f t="shared" si="17"/>
        <v>66000-909</v>
      </c>
      <c r="AE112" s="64"/>
      <c r="AF112" s="65"/>
      <c r="AG112" s="20" t="s">
        <v>43</v>
      </c>
      <c r="AH112" s="29">
        <v>65616</v>
      </c>
      <c r="AI112" s="30">
        <v>45590</v>
      </c>
    </row>
    <row r="113" spans="1:35" x14ac:dyDescent="0.25">
      <c r="A113" s="66">
        <v>45594</v>
      </c>
      <c r="B113" s="13" t="s">
        <v>595</v>
      </c>
      <c r="C113" s="17" t="s">
        <v>134</v>
      </c>
      <c r="D113" s="17" t="s">
        <v>135</v>
      </c>
      <c r="E113" s="16">
        <v>45609</v>
      </c>
      <c r="F113" s="17" t="s">
        <v>136</v>
      </c>
      <c r="G113" s="18" t="s">
        <v>137</v>
      </c>
      <c r="H113" s="19">
        <v>330</v>
      </c>
      <c r="I113" s="17" t="s">
        <v>138</v>
      </c>
      <c r="J113" s="20">
        <v>163.07</v>
      </c>
      <c r="K113" s="58">
        <v>1057067</v>
      </c>
      <c r="L113" s="59"/>
      <c r="M113" s="59">
        <v>14.8</v>
      </c>
      <c r="N113" s="59">
        <v>9.6</v>
      </c>
      <c r="O113" s="60">
        <f t="shared" si="16"/>
        <v>142.08000000000001</v>
      </c>
      <c r="P113" s="59" t="s">
        <v>139</v>
      </c>
      <c r="Q113" s="59" t="s">
        <v>140</v>
      </c>
      <c r="R113" s="61"/>
      <c r="S113" s="61"/>
      <c r="T113" s="61"/>
      <c r="U113" s="61"/>
      <c r="V113" s="61"/>
      <c r="W113" s="62">
        <v>0.82</v>
      </c>
      <c r="X113" s="63">
        <v>375</v>
      </c>
      <c r="Y113" s="62" t="str">
        <f t="shared" si="10"/>
        <v>RL278</v>
      </c>
      <c r="Z113" s="62" t="str">
        <f t="shared" si="11"/>
        <v>16/UR18650F-2300</v>
      </c>
      <c r="AA113" s="63">
        <f t="shared" si="12"/>
        <v>0.82</v>
      </c>
      <c r="AB113" s="63">
        <f t="shared" si="15"/>
        <v>163.07</v>
      </c>
      <c r="AC113" s="62">
        <f t="shared" si="13"/>
        <v>375</v>
      </c>
      <c r="AD113" s="62" t="str">
        <f t="shared" si="17"/>
        <v>66000-508</v>
      </c>
      <c r="AE113" s="64"/>
      <c r="AF113" s="65"/>
      <c r="AG113" s="20" t="s">
        <v>43</v>
      </c>
      <c r="AH113" s="29">
        <v>24081</v>
      </c>
      <c r="AI113" s="30">
        <v>45588</v>
      </c>
    </row>
    <row r="114" spans="1:35" x14ac:dyDescent="0.25">
      <c r="A114" s="66">
        <v>45630</v>
      </c>
      <c r="B114" s="13">
        <v>345893</v>
      </c>
      <c r="C114" s="17" t="s">
        <v>554</v>
      </c>
      <c r="D114" s="17" t="s">
        <v>574</v>
      </c>
      <c r="E114" s="16">
        <v>45702</v>
      </c>
      <c r="F114" s="17" t="s">
        <v>80</v>
      </c>
      <c r="G114" s="18" t="s">
        <v>576</v>
      </c>
      <c r="H114" s="19">
        <v>100</v>
      </c>
      <c r="I114" s="17" t="s">
        <v>88</v>
      </c>
      <c r="J114" s="20">
        <v>32.659999999999997</v>
      </c>
      <c r="K114" s="58">
        <v>1057273</v>
      </c>
      <c r="L114" s="59"/>
      <c r="M114" s="59">
        <v>8.4</v>
      </c>
      <c r="N114" s="59">
        <v>4.5</v>
      </c>
      <c r="O114" s="60">
        <f t="shared" si="16"/>
        <v>37.800000000000004</v>
      </c>
      <c r="P114" s="59" t="s">
        <v>154</v>
      </c>
      <c r="Q114" s="59" t="s">
        <v>557</v>
      </c>
      <c r="R114" s="61"/>
      <c r="S114" s="61"/>
      <c r="T114" s="61"/>
      <c r="U114" s="61"/>
      <c r="V114" s="61"/>
      <c r="W114" s="62">
        <v>0.35</v>
      </c>
      <c r="X114" s="63">
        <v>54</v>
      </c>
      <c r="Y114" s="62" t="str">
        <f t="shared" si="10"/>
        <v>N1387</v>
      </c>
      <c r="Z114" s="62" t="str">
        <f t="shared" si="11"/>
        <v>7/MH-C4500HT</v>
      </c>
      <c r="AA114" s="63">
        <f t="shared" si="12"/>
        <v>0.35</v>
      </c>
      <c r="AB114" s="63">
        <f t="shared" si="15"/>
        <v>32.659999999999997</v>
      </c>
      <c r="AC114" s="62">
        <f t="shared" si="13"/>
        <v>54</v>
      </c>
      <c r="AD114" s="62" t="str">
        <f t="shared" si="17"/>
        <v>66000-909</v>
      </c>
      <c r="AE114" s="64"/>
      <c r="AF114" s="65"/>
      <c r="AG114" s="20" t="s">
        <v>43</v>
      </c>
      <c r="AH114" s="29">
        <v>65616</v>
      </c>
      <c r="AI114" s="30">
        <v>45590</v>
      </c>
    </row>
    <row r="115" spans="1:35" x14ac:dyDescent="0.25">
      <c r="A115" s="66">
        <v>45594</v>
      </c>
      <c r="B115" s="13" t="s">
        <v>596</v>
      </c>
      <c r="C115" s="17" t="s">
        <v>597</v>
      </c>
      <c r="D115" s="17" t="s">
        <v>598</v>
      </c>
      <c r="E115" s="16">
        <v>45617</v>
      </c>
      <c r="F115" s="17" t="s">
        <v>599</v>
      </c>
      <c r="G115" s="18" t="s">
        <v>600</v>
      </c>
      <c r="H115" s="19">
        <v>35</v>
      </c>
      <c r="I115" s="17" t="s">
        <v>212</v>
      </c>
      <c r="J115" s="20">
        <v>268.04000000000002</v>
      </c>
      <c r="K115" s="58">
        <v>1057219</v>
      </c>
      <c r="L115" s="59"/>
      <c r="M115" s="59"/>
      <c r="N115" s="59"/>
      <c r="O115" s="60">
        <f t="shared" si="16"/>
        <v>0</v>
      </c>
      <c r="P115" s="59"/>
      <c r="Q115" s="59"/>
      <c r="R115" s="61"/>
      <c r="S115" s="61"/>
      <c r="T115" s="61"/>
      <c r="U115" s="61"/>
      <c r="V115" s="61"/>
      <c r="W115" s="62">
        <v>4.05</v>
      </c>
      <c r="X115" s="63">
        <v>562</v>
      </c>
      <c r="Y115" s="62" t="str">
        <f t="shared" si="10"/>
        <v>CH605</v>
      </c>
      <c r="Z115" s="62" t="str">
        <f t="shared" si="11"/>
        <v>TSB004PCBR1</v>
      </c>
      <c r="AA115" s="63">
        <f t="shared" si="12"/>
        <v>4.05</v>
      </c>
      <c r="AB115" s="63">
        <f t="shared" si="15"/>
        <v>268.04000000000002</v>
      </c>
      <c r="AC115" s="62">
        <f t="shared" si="13"/>
        <v>562</v>
      </c>
      <c r="AD115" s="62" t="str">
        <f t="shared" si="17"/>
        <v>66003-605</v>
      </c>
      <c r="AE115" s="64"/>
      <c r="AF115" s="65"/>
      <c r="AG115" s="20" t="s">
        <v>59</v>
      </c>
      <c r="AH115" s="29">
        <v>25091</v>
      </c>
      <c r="AI115" s="30">
        <v>45589</v>
      </c>
    </row>
    <row r="116" spans="1:35" x14ac:dyDescent="0.25">
      <c r="A116" s="66">
        <v>45594</v>
      </c>
      <c r="B116" s="13" t="s">
        <v>601</v>
      </c>
      <c r="C116" s="17" t="s">
        <v>559</v>
      </c>
      <c r="D116" s="17" t="s">
        <v>480</v>
      </c>
      <c r="E116" s="16">
        <v>45627</v>
      </c>
      <c r="F116" s="17" t="s">
        <v>481</v>
      </c>
      <c r="G116" s="18" t="s">
        <v>482</v>
      </c>
      <c r="H116" s="19">
        <v>800</v>
      </c>
      <c r="I116" s="17" t="s">
        <v>483</v>
      </c>
      <c r="J116" s="20">
        <v>78.92</v>
      </c>
      <c r="K116" s="58">
        <v>1057541</v>
      </c>
      <c r="L116" s="59"/>
      <c r="M116" s="59">
        <v>3.93</v>
      </c>
      <c r="N116" s="59">
        <v>32</v>
      </c>
      <c r="O116" s="60">
        <f t="shared" si="16"/>
        <v>125.76</v>
      </c>
      <c r="P116" s="59" t="s">
        <v>529</v>
      </c>
      <c r="Q116" s="59" t="s">
        <v>42</v>
      </c>
      <c r="R116" s="61"/>
      <c r="S116" s="61"/>
      <c r="T116" s="61"/>
      <c r="U116" s="61"/>
      <c r="V116" s="61"/>
      <c r="W116" s="62">
        <v>0.06</v>
      </c>
      <c r="X116" s="63">
        <v>102</v>
      </c>
      <c r="Y116" s="62" t="str">
        <f t="shared" si="10"/>
        <v>L865</v>
      </c>
      <c r="Z116" s="62" t="str">
        <f t="shared" si="11"/>
        <v>1/LXRDD-5-1-SC-BC</v>
      </c>
      <c r="AA116" s="63">
        <f t="shared" si="12"/>
        <v>0.06</v>
      </c>
      <c r="AB116" s="63">
        <f t="shared" si="15"/>
        <v>78.92</v>
      </c>
      <c r="AC116" s="62">
        <f t="shared" si="13"/>
        <v>102</v>
      </c>
      <c r="AD116" s="62" t="str">
        <f t="shared" si="17"/>
        <v>67001-3486L865</v>
      </c>
      <c r="AE116" s="64"/>
      <c r="AF116" s="65"/>
      <c r="AG116" s="20" t="s">
        <v>43</v>
      </c>
      <c r="AH116" s="29">
        <v>1926</v>
      </c>
      <c r="AI116" s="30">
        <v>45593</v>
      </c>
    </row>
    <row r="117" spans="1:35" x14ac:dyDescent="0.25">
      <c r="A117" s="66">
        <v>45594</v>
      </c>
      <c r="B117" s="13" t="s">
        <v>602</v>
      </c>
      <c r="C117" s="17" t="s">
        <v>78</v>
      </c>
      <c r="D117" s="17" t="s">
        <v>603</v>
      </c>
      <c r="E117" s="16">
        <v>45672</v>
      </c>
      <c r="F117" s="17" t="s">
        <v>80</v>
      </c>
      <c r="G117" s="18" t="s">
        <v>604</v>
      </c>
      <c r="H117" s="19">
        <v>500</v>
      </c>
      <c r="I117" s="17" t="s">
        <v>82</v>
      </c>
      <c r="J117" s="20">
        <v>10.74</v>
      </c>
      <c r="K117" s="58">
        <v>1057607</v>
      </c>
      <c r="L117" s="59"/>
      <c r="M117" s="59">
        <v>3.6</v>
      </c>
      <c r="N117" s="59">
        <v>2.1</v>
      </c>
      <c r="O117" s="60">
        <f t="shared" si="16"/>
        <v>7.5600000000000005</v>
      </c>
      <c r="P117" s="59" t="s">
        <v>529</v>
      </c>
      <c r="Q117" s="59" t="s">
        <v>183</v>
      </c>
      <c r="R117" s="61"/>
      <c r="S117" s="61"/>
      <c r="T117" s="61"/>
      <c r="U117" s="61"/>
      <c r="V117" s="61"/>
      <c r="W117" s="62">
        <v>0.24</v>
      </c>
      <c r="X117" s="63">
        <v>32</v>
      </c>
      <c r="Y117" s="62" t="str">
        <f t="shared" si="10"/>
        <v>L238A-1048</v>
      </c>
      <c r="Z117" s="62" t="str">
        <f t="shared" si="11"/>
        <v>2/LS14500</v>
      </c>
      <c r="AA117" s="63">
        <f t="shared" si="12"/>
        <v>0.24</v>
      </c>
      <c r="AB117" s="63">
        <f t="shared" si="15"/>
        <v>10.74</v>
      </c>
      <c r="AC117" s="62">
        <f t="shared" si="13"/>
        <v>32</v>
      </c>
      <c r="AD117" s="62" t="str">
        <f t="shared" si="17"/>
        <v>66000-231A</v>
      </c>
      <c r="AE117" s="64"/>
      <c r="AF117" s="65"/>
      <c r="AG117" s="20" t="s">
        <v>43</v>
      </c>
      <c r="AH117" s="29">
        <v>65616</v>
      </c>
      <c r="AI117" s="30">
        <v>45594</v>
      </c>
    </row>
    <row r="118" spans="1:35" x14ac:dyDescent="0.25">
      <c r="A118" s="72">
        <v>45597</v>
      </c>
      <c r="B118" s="73" t="s">
        <v>605</v>
      </c>
      <c r="C118" s="17" t="s">
        <v>606</v>
      </c>
      <c r="D118" s="17" t="s">
        <v>607</v>
      </c>
      <c r="E118" s="16">
        <v>45616</v>
      </c>
      <c r="F118" s="17" t="s">
        <v>608</v>
      </c>
      <c r="G118" s="18" t="s">
        <v>609</v>
      </c>
      <c r="H118" s="19">
        <v>3</v>
      </c>
      <c r="I118" s="17" t="s">
        <v>610</v>
      </c>
      <c r="J118" s="20">
        <v>101.01</v>
      </c>
      <c r="K118" s="58">
        <v>1057799</v>
      </c>
      <c r="L118" s="59" t="s">
        <v>611</v>
      </c>
      <c r="M118" s="59">
        <v>26.4</v>
      </c>
      <c r="N118" s="59">
        <v>2.8</v>
      </c>
      <c r="O118" s="60">
        <f t="shared" si="16"/>
        <v>73.919999999999987</v>
      </c>
      <c r="P118" s="59" t="s">
        <v>154</v>
      </c>
      <c r="Q118" s="59" t="s">
        <v>612</v>
      </c>
      <c r="R118" s="61"/>
      <c r="S118" s="61"/>
      <c r="T118" s="61"/>
      <c r="U118" s="61"/>
      <c r="V118" s="61"/>
      <c r="W118" s="62">
        <v>1.37</v>
      </c>
      <c r="X118" s="63">
        <v>268.85000000000002</v>
      </c>
      <c r="Y118" s="62" t="str">
        <f t="shared" si="10"/>
        <v>N1302</v>
      </c>
      <c r="Z118" s="62" t="str">
        <f t="shared" si="11"/>
        <v>22/HHR-300SCP</v>
      </c>
      <c r="AA118" s="63">
        <f t="shared" si="12"/>
        <v>1.37</v>
      </c>
      <c r="AB118" s="63">
        <f t="shared" si="15"/>
        <v>101.01</v>
      </c>
      <c r="AC118" s="62">
        <f t="shared" si="13"/>
        <v>268.85000000000002</v>
      </c>
      <c r="AD118" s="62" t="str">
        <f t="shared" si="17"/>
        <v>22000-090D</v>
      </c>
      <c r="AE118" s="64"/>
      <c r="AF118" s="65"/>
      <c r="AG118" s="20" t="s">
        <v>59</v>
      </c>
      <c r="AH118" s="29">
        <v>34566</v>
      </c>
      <c r="AI118" s="30">
        <v>45321</v>
      </c>
    </row>
    <row r="119" spans="1:35" x14ac:dyDescent="0.25">
      <c r="A119" s="66">
        <v>45601</v>
      </c>
      <c r="B119" s="13" t="s">
        <v>613</v>
      </c>
      <c r="C119" s="17" t="s">
        <v>597</v>
      </c>
      <c r="D119" s="17" t="s">
        <v>598</v>
      </c>
      <c r="E119" s="16">
        <v>45618</v>
      </c>
      <c r="F119" s="17" t="s">
        <v>599</v>
      </c>
      <c r="G119" s="18" t="s">
        <v>600</v>
      </c>
      <c r="H119" s="19">
        <v>6</v>
      </c>
      <c r="I119" s="17" t="s">
        <v>212</v>
      </c>
      <c r="J119" s="20">
        <v>214.13</v>
      </c>
      <c r="K119" s="58">
        <v>1058115</v>
      </c>
      <c r="L119" s="59"/>
      <c r="M119" s="59"/>
      <c r="N119" s="59"/>
      <c r="O119" s="60">
        <f t="shared" si="16"/>
        <v>0</v>
      </c>
      <c r="P119" s="59"/>
      <c r="Q119" s="59"/>
      <c r="R119" s="61"/>
      <c r="S119" s="61"/>
      <c r="T119" s="61"/>
      <c r="U119" s="61"/>
      <c r="V119" s="61"/>
      <c r="W119" s="62">
        <v>4.05</v>
      </c>
      <c r="X119" s="63">
        <v>562</v>
      </c>
      <c r="Y119" s="62" t="str">
        <f t="shared" si="10"/>
        <v>CH605</v>
      </c>
      <c r="Z119" s="62" t="str">
        <f t="shared" si="11"/>
        <v>TSB004PCBR1</v>
      </c>
      <c r="AA119" s="63">
        <f t="shared" si="12"/>
        <v>4.05</v>
      </c>
      <c r="AB119" s="63">
        <f t="shared" si="15"/>
        <v>214.13</v>
      </c>
      <c r="AC119" s="62">
        <f t="shared" si="13"/>
        <v>562</v>
      </c>
      <c r="AD119" s="62" t="str">
        <f t="shared" si="17"/>
        <v>66003-605</v>
      </c>
      <c r="AE119" s="64"/>
      <c r="AF119" s="65"/>
      <c r="AG119" s="20" t="s">
        <v>108</v>
      </c>
      <c r="AH119" s="29">
        <v>25091</v>
      </c>
      <c r="AI119" s="30">
        <v>45597</v>
      </c>
    </row>
    <row r="120" spans="1:35" x14ac:dyDescent="0.25">
      <c r="A120" s="66">
        <v>45601</v>
      </c>
      <c r="B120" s="13" t="s">
        <v>614</v>
      </c>
      <c r="C120" s="17" t="s">
        <v>615</v>
      </c>
      <c r="D120" s="17" t="s">
        <v>616</v>
      </c>
      <c r="E120" s="16">
        <v>45681</v>
      </c>
      <c r="F120" s="17" t="s">
        <v>80</v>
      </c>
      <c r="G120" s="18" t="s">
        <v>617</v>
      </c>
      <c r="H120" s="19">
        <v>100</v>
      </c>
      <c r="I120" s="17" t="s">
        <v>213</v>
      </c>
      <c r="J120" s="20">
        <v>63.41</v>
      </c>
      <c r="K120" s="58">
        <v>1058017</v>
      </c>
      <c r="L120" s="59"/>
      <c r="M120" s="59"/>
      <c r="N120" s="59"/>
      <c r="O120" s="60">
        <f t="shared" si="16"/>
        <v>0</v>
      </c>
      <c r="P120" s="59"/>
      <c r="Q120" s="59"/>
      <c r="R120" s="61"/>
      <c r="S120" s="61"/>
      <c r="T120" s="61"/>
      <c r="U120" s="61"/>
      <c r="V120" s="61"/>
      <c r="W120" s="62">
        <v>0.85</v>
      </c>
      <c r="X120" s="63">
        <v>159.75</v>
      </c>
      <c r="Y120" s="62" t="str">
        <f t="shared" si="10"/>
        <v xml:space="preserve">CH157 </v>
      </c>
      <c r="Z120" s="62" t="str">
        <f t="shared" si="11"/>
        <v xml:space="preserve">TSB-003PCB </v>
      </c>
      <c r="AA120" s="63">
        <f t="shared" si="12"/>
        <v>0.85</v>
      </c>
      <c r="AB120" s="63">
        <f t="shared" si="15"/>
        <v>63.41</v>
      </c>
      <c r="AC120" s="62">
        <f t="shared" si="13"/>
        <v>159.75</v>
      </c>
      <c r="AD120" s="62" t="str">
        <f t="shared" si="17"/>
        <v>66000-066</v>
      </c>
      <c r="AE120" s="64"/>
      <c r="AF120" s="65"/>
      <c r="AG120" s="20" t="s">
        <v>43</v>
      </c>
      <c r="AH120" s="29">
        <v>65616</v>
      </c>
      <c r="AI120" s="30">
        <v>45597</v>
      </c>
    </row>
    <row r="121" spans="1:35" x14ac:dyDescent="0.25">
      <c r="A121" s="66">
        <v>45601</v>
      </c>
      <c r="B121" s="13" t="s">
        <v>618</v>
      </c>
      <c r="C121" s="17" t="s">
        <v>615</v>
      </c>
      <c r="D121" s="17" t="s">
        <v>616</v>
      </c>
      <c r="E121" s="16">
        <v>45703</v>
      </c>
      <c r="F121" s="17" t="s">
        <v>80</v>
      </c>
      <c r="G121" s="18" t="s">
        <v>617</v>
      </c>
      <c r="H121" s="19">
        <v>100</v>
      </c>
      <c r="I121" s="17" t="s">
        <v>213</v>
      </c>
      <c r="J121" s="20">
        <v>63.4</v>
      </c>
      <c r="K121" s="58">
        <v>1058018</v>
      </c>
      <c r="L121" s="59"/>
      <c r="M121" s="59"/>
      <c r="N121" s="59"/>
      <c r="O121" s="60">
        <f t="shared" si="16"/>
        <v>0</v>
      </c>
      <c r="P121" s="59"/>
      <c r="Q121" s="59"/>
      <c r="R121" s="61"/>
      <c r="S121" s="61"/>
      <c r="T121" s="61"/>
      <c r="U121" s="61"/>
      <c r="V121" s="61"/>
      <c r="W121" s="62">
        <v>0.85</v>
      </c>
      <c r="X121" s="63">
        <v>159.75</v>
      </c>
      <c r="Y121" s="62" t="str">
        <f t="shared" si="10"/>
        <v xml:space="preserve">CH157 </v>
      </c>
      <c r="Z121" s="62" t="str">
        <f t="shared" si="11"/>
        <v xml:space="preserve">TSB-003PCB </v>
      </c>
      <c r="AA121" s="63">
        <f t="shared" si="12"/>
        <v>0.85</v>
      </c>
      <c r="AB121" s="63">
        <f t="shared" si="15"/>
        <v>63.4</v>
      </c>
      <c r="AC121" s="62">
        <f t="shared" si="13"/>
        <v>159.75</v>
      </c>
      <c r="AD121" s="62" t="str">
        <f t="shared" si="17"/>
        <v>66000-066</v>
      </c>
      <c r="AE121" s="64"/>
      <c r="AF121" s="65"/>
      <c r="AG121" s="20" t="s">
        <v>43</v>
      </c>
      <c r="AH121" s="29">
        <v>65616</v>
      </c>
      <c r="AI121" s="30">
        <v>45597</v>
      </c>
    </row>
    <row r="122" spans="1:35" x14ac:dyDescent="0.25">
      <c r="A122" s="66">
        <v>45601</v>
      </c>
      <c r="B122" s="13" t="s">
        <v>619</v>
      </c>
      <c r="C122" s="17" t="s">
        <v>615</v>
      </c>
      <c r="D122" s="17" t="s">
        <v>620</v>
      </c>
      <c r="E122" s="16">
        <v>45731</v>
      </c>
      <c r="F122" s="17" t="s">
        <v>80</v>
      </c>
      <c r="G122" s="18" t="s">
        <v>617</v>
      </c>
      <c r="H122" s="19">
        <v>100</v>
      </c>
      <c r="I122" s="17" t="s">
        <v>213</v>
      </c>
      <c r="J122" s="20">
        <v>63.4</v>
      </c>
      <c r="K122" s="58">
        <v>1058019</v>
      </c>
      <c r="L122" s="59"/>
      <c r="M122" s="59"/>
      <c r="N122" s="59"/>
      <c r="O122" s="60">
        <f t="shared" si="16"/>
        <v>0</v>
      </c>
      <c r="P122" s="59"/>
      <c r="Q122" s="59"/>
      <c r="R122" s="61"/>
      <c r="S122" s="61"/>
      <c r="T122" s="61"/>
      <c r="U122" s="61"/>
      <c r="V122" s="61"/>
      <c r="W122" s="62">
        <v>0.85</v>
      </c>
      <c r="X122" s="63">
        <v>159.75</v>
      </c>
      <c r="Y122" s="62" t="str">
        <f t="shared" si="10"/>
        <v>CH157</v>
      </c>
      <c r="Z122" s="62" t="str">
        <f t="shared" si="11"/>
        <v xml:space="preserve">TSB-003PCB </v>
      </c>
      <c r="AA122" s="63">
        <f t="shared" si="12"/>
        <v>0.85</v>
      </c>
      <c r="AB122" s="63">
        <f t="shared" si="15"/>
        <v>63.4</v>
      </c>
      <c r="AC122" s="62">
        <f t="shared" si="13"/>
        <v>159.75</v>
      </c>
      <c r="AD122" s="62" t="str">
        <f t="shared" si="17"/>
        <v>66000-066</v>
      </c>
      <c r="AE122" s="64"/>
      <c r="AF122" s="65"/>
      <c r="AG122" s="20" t="s">
        <v>43</v>
      </c>
      <c r="AH122" s="29">
        <v>65616</v>
      </c>
      <c r="AI122" s="30">
        <v>45597</v>
      </c>
    </row>
    <row r="123" spans="1:35" x14ac:dyDescent="0.25">
      <c r="A123" s="72">
        <v>45604</v>
      </c>
      <c r="B123" s="73" t="s">
        <v>621</v>
      </c>
      <c r="C123" s="17" t="s">
        <v>622</v>
      </c>
      <c r="D123" s="17" t="s">
        <v>623</v>
      </c>
      <c r="E123" s="16">
        <v>45623</v>
      </c>
      <c r="F123" s="17" t="s">
        <v>624</v>
      </c>
      <c r="G123" s="18" t="s">
        <v>625</v>
      </c>
      <c r="H123" s="19">
        <v>6</v>
      </c>
      <c r="I123" s="17" t="s">
        <v>626</v>
      </c>
      <c r="J123" s="20">
        <v>36.42</v>
      </c>
      <c r="K123" s="58">
        <v>1058531</v>
      </c>
      <c r="L123" s="59"/>
      <c r="M123" s="59"/>
      <c r="N123" s="59"/>
      <c r="O123" s="60">
        <f t="shared" si="16"/>
        <v>0</v>
      </c>
      <c r="P123" s="59"/>
      <c r="Q123" s="59"/>
      <c r="R123" s="61"/>
      <c r="S123" s="61"/>
      <c r="T123" s="61"/>
      <c r="U123" s="61"/>
      <c r="V123" s="61"/>
      <c r="W123" s="62">
        <v>3.51</v>
      </c>
      <c r="X123" s="63">
        <v>117.02</v>
      </c>
      <c r="Y123" s="62" t="str">
        <f t="shared" si="10"/>
        <v>CH582</v>
      </c>
      <c r="Z123" s="62" t="str">
        <f t="shared" si="11"/>
        <v>CH1-MBM06</v>
      </c>
      <c r="AA123" s="63">
        <f t="shared" si="12"/>
        <v>3.51</v>
      </c>
      <c r="AB123" s="63">
        <f t="shared" si="15"/>
        <v>36.42</v>
      </c>
      <c r="AC123" s="62">
        <f t="shared" si="13"/>
        <v>117.02</v>
      </c>
      <c r="AD123" s="62" t="str">
        <f t="shared" si="17"/>
        <v>20006-473MBM06</v>
      </c>
      <c r="AE123" s="64"/>
      <c r="AF123" s="65"/>
      <c r="AG123" s="20" t="s">
        <v>108</v>
      </c>
      <c r="AH123" s="29" t="s">
        <v>627</v>
      </c>
      <c r="AI123" s="30">
        <v>45602</v>
      </c>
    </row>
    <row r="124" spans="1:35" x14ac:dyDescent="0.25">
      <c r="A124" s="71">
        <v>45614</v>
      </c>
      <c r="B124" s="37" t="s">
        <v>628</v>
      </c>
      <c r="C124" s="17" t="s">
        <v>505</v>
      </c>
      <c r="D124" s="17" t="s">
        <v>260</v>
      </c>
      <c r="E124" s="16">
        <v>45631</v>
      </c>
      <c r="F124" s="17" t="s">
        <v>629</v>
      </c>
      <c r="G124" s="18" t="s">
        <v>630</v>
      </c>
      <c r="H124" s="19">
        <v>20</v>
      </c>
      <c r="I124" s="17" t="s">
        <v>509</v>
      </c>
      <c r="J124" s="20">
        <v>42.74</v>
      </c>
      <c r="K124" s="58">
        <v>1059516</v>
      </c>
      <c r="L124" s="59"/>
      <c r="M124" s="59">
        <v>14.4</v>
      </c>
      <c r="N124" s="59">
        <v>6</v>
      </c>
      <c r="O124" s="60">
        <f t="shared" si="16"/>
        <v>86.4</v>
      </c>
      <c r="P124" s="59" t="s">
        <v>139</v>
      </c>
      <c r="Q124" s="59" t="s">
        <v>58</v>
      </c>
      <c r="R124" s="61"/>
      <c r="S124" s="61"/>
      <c r="T124" s="61"/>
      <c r="U124" s="61"/>
      <c r="V124" s="61"/>
      <c r="W124" s="62">
        <v>0.5</v>
      </c>
      <c r="X124" s="63">
        <v>160</v>
      </c>
      <c r="Y124" s="62" t="str">
        <f t="shared" si="10"/>
        <v>RECELL</v>
      </c>
      <c r="Z124" s="62" t="str">
        <f t="shared" si="11"/>
        <v>8/INR18650-30Q</v>
      </c>
      <c r="AA124" s="63">
        <f t="shared" si="12"/>
        <v>0.5</v>
      </c>
      <c r="AB124" s="63">
        <f t="shared" si="15"/>
        <v>42.74</v>
      </c>
      <c r="AC124" s="62">
        <f t="shared" si="13"/>
        <v>160</v>
      </c>
      <c r="AD124" s="62" t="str">
        <f t="shared" si="17"/>
        <v>66003-335</v>
      </c>
      <c r="AE124" s="64"/>
      <c r="AF124" s="65"/>
      <c r="AG124" s="20" t="s">
        <v>445</v>
      </c>
      <c r="AH124" s="29">
        <v>1632</v>
      </c>
      <c r="AI124" s="30">
        <v>45610</v>
      </c>
    </row>
    <row r="125" spans="1:35" x14ac:dyDescent="0.25">
      <c r="A125" s="71">
        <v>45621</v>
      </c>
      <c r="B125" s="37" t="s">
        <v>631</v>
      </c>
      <c r="C125" s="77" t="s">
        <v>632</v>
      </c>
      <c r="D125" s="77" t="s">
        <v>633</v>
      </c>
      <c r="E125" s="78">
        <v>45617</v>
      </c>
      <c r="F125" s="77" t="s">
        <v>136</v>
      </c>
      <c r="G125" s="79" t="s">
        <v>634</v>
      </c>
      <c r="H125" s="80">
        <v>12</v>
      </c>
      <c r="I125" s="82" t="s">
        <v>352</v>
      </c>
      <c r="J125" s="82">
        <v>77.245829999999998</v>
      </c>
      <c r="K125" s="58">
        <v>345687</v>
      </c>
      <c r="L125" s="59"/>
      <c r="M125" s="59">
        <v>14.8</v>
      </c>
      <c r="N125" s="59">
        <v>10.4</v>
      </c>
      <c r="O125" s="60">
        <f t="shared" si="16"/>
        <v>153.92000000000002</v>
      </c>
      <c r="P125" s="59" t="s">
        <v>458</v>
      </c>
      <c r="Q125" s="59" t="s">
        <v>140</v>
      </c>
      <c r="R125" s="61"/>
      <c r="S125" s="61"/>
      <c r="T125" s="61"/>
      <c r="U125" s="61"/>
      <c r="V125" s="61"/>
      <c r="W125" s="62">
        <v>0.25</v>
      </c>
      <c r="X125" s="63">
        <v>0</v>
      </c>
      <c r="Y125" s="62" t="str">
        <f t="shared" si="10"/>
        <v>RL278MIB</v>
      </c>
      <c r="Z125" s="62" t="str">
        <f t="shared" si="11"/>
        <v>16/UR18650ZY</v>
      </c>
      <c r="AA125" s="63">
        <f t="shared" si="12"/>
        <v>0.25</v>
      </c>
      <c r="AB125" s="63">
        <f t="shared" si="15"/>
        <v>77.245829999999998</v>
      </c>
      <c r="AC125" s="62">
        <f t="shared" si="13"/>
        <v>0</v>
      </c>
      <c r="AD125" s="62" t="str">
        <f t="shared" si="17"/>
        <v>66000-7922</v>
      </c>
      <c r="AE125" s="64"/>
      <c r="AF125" s="65"/>
      <c r="AG125" s="20" t="s">
        <v>43</v>
      </c>
      <c r="AH125" s="29">
        <v>24081</v>
      </c>
      <c r="AI125" s="30">
        <v>45617</v>
      </c>
    </row>
    <row r="126" spans="1:35" x14ac:dyDescent="0.25">
      <c r="A126" s="72">
        <v>45625</v>
      </c>
      <c r="B126" s="73" t="s">
        <v>635</v>
      </c>
      <c r="C126" s="77" t="s">
        <v>636</v>
      </c>
      <c r="D126" s="77" t="s">
        <v>637</v>
      </c>
      <c r="E126" s="78">
        <v>45674</v>
      </c>
      <c r="F126" s="77" t="s">
        <v>80</v>
      </c>
      <c r="G126" s="79" t="s">
        <v>638</v>
      </c>
      <c r="H126" s="80">
        <v>50</v>
      </c>
      <c r="I126" s="82" t="s">
        <v>263</v>
      </c>
      <c r="J126" s="20">
        <v>11</v>
      </c>
      <c r="K126" s="58">
        <v>1060135</v>
      </c>
      <c r="L126" s="59"/>
      <c r="M126" s="59">
        <v>12</v>
      </c>
      <c r="N126" s="59">
        <v>10</v>
      </c>
      <c r="O126" s="60">
        <f t="shared" si="16"/>
        <v>120</v>
      </c>
      <c r="P126" s="59" t="s">
        <v>154</v>
      </c>
      <c r="Q126" s="59" t="s">
        <v>155</v>
      </c>
      <c r="R126" s="61"/>
      <c r="S126" s="61"/>
      <c r="T126" s="61"/>
      <c r="U126" s="61"/>
      <c r="V126" s="61"/>
      <c r="W126" s="62">
        <v>1.23</v>
      </c>
      <c r="X126" s="63">
        <v>180</v>
      </c>
      <c r="Y126" s="62" t="str">
        <f t="shared" si="10"/>
        <v>N1217REV2</v>
      </c>
      <c r="Z126" s="62" t="str">
        <f t="shared" si="11"/>
        <v xml:space="preserve">10/KH-D10000  </v>
      </c>
      <c r="AA126" s="63">
        <f t="shared" si="12"/>
        <v>1.23</v>
      </c>
      <c r="AB126" s="63">
        <f t="shared" si="15"/>
        <v>11</v>
      </c>
      <c r="AC126" s="62">
        <f t="shared" si="13"/>
        <v>180</v>
      </c>
      <c r="AD126" s="62" t="str">
        <f t="shared" si="17"/>
        <v>66000-810 REV2</v>
      </c>
      <c r="AE126" s="64"/>
      <c r="AF126" s="65"/>
      <c r="AG126" s="20" t="s">
        <v>43</v>
      </c>
      <c r="AH126" s="29">
        <v>65616</v>
      </c>
      <c r="AI126" s="30">
        <v>45616</v>
      </c>
    </row>
    <row r="127" spans="1:35" x14ac:dyDescent="0.25">
      <c r="A127" s="72">
        <v>45625</v>
      </c>
      <c r="B127" s="73" t="s">
        <v>639</v>
      </c>
      <c r="C127" s="77" t="s">
        <v>640</v>
      </c>
      <c r="D127" s="77" t="s">
        <v>641</v>
      </c>
      <c r="E127" s="78">
        <v>45672</v>
      </c>
      <c r="F127" s="77" t="s">
        <v>642</v>
      </c>
      <c r="G127" s="79" t="s">
        <v>643</v>
      </c>
      <c r="H127" s="80">
        <v>15</v>
      </c>
      <c r="I127" s="82" t="s">
        <v>644</v>
      </c>
      <c r="J127" s="82">
        <v>9.9766670000000008</v>
      </c>
      <c r="K127" s="58">
        <v>1060766</v>
      </c>
      <c r="L127" s="59"/>
      <c r="M127" s="59">
        <v>11.1</v>
      </c>
      <c r="N127" s="59">
        <v>5</v>
      </c>
      <c r="O127" s="60">
        <f t="shared" si="16"/>
        <v>55.5</v>
      </c>
      <c r="P127" s="59" t="s">
        <v>645</v>
      </c>
      <c r="Q127" s="59" t="s">
        <v>98</v>
      </c>
      <c r="R127" s="61"/>
      <c r="S127" s="61"/>
      <c r="T127" s="61"/>
      <c r="U127" s="61"/>
      <c r="V127" s="61"/>
      <c r="W127" s="62">
        <v>1.29</v>
      </c>
      <c r="X127" s="63">
        <v>116</v>
      </c>
      <c r="Y127" s="62" t="str">
        <f t="shared" si="10"/>
        <v>DH62</v>
      </c>
      <c r="Z127" s="62" t="str">
        <f t="shared" si="11"/>
        <v>3/INR26650-50A</v>
      </c>
      <c r="AA127" s="63">
        <f t="shared" si="12"/>
        <v>1.29</v>
      </c>
      <c r="AB127" s="63">
        <f t="shared" si="15"/>
        <v>9.9766670000000008</v>
      </c>
      <c r="AC127" s="62">
        <f t="shared" si="13"/>
        <v>116</v>
      </c>
      <c r="AD127" s="62" t="str">
        <f t="shared" si="17"/>
        <v>66003-155</v>
      </c>
      <c r="AE127" s="64"/>
      <c r="AF127" s="65"/>
      <c r="AG127" s="20" t="s">
        <v>71</v>
      </c>
      <c r="AH127" s="29">
        <v>2976</v>
      </c>
      <c r="AI127" s="30">
        <v>45622</v>
      </c>
    </row>
    <row r="128" spans="1:35" x14ac:dyDescent="0.25">
      <c r="A128" s="72">
        <v>45625</v>
      </c>
      <c r="B128" s="73" t="s">
        <v>646</v>
      </c>
      <c r="C128" s="77" t="s">
        <v>647</v>
      </c>
      <c r="D128" s="77" t="s">
        <v>648</v>
      </c>
      <c r="E128" s="78">
        <v>45672</v>
      </c>
      <c r="F128" s="77" t="s">
        <v>642</v>
      </c>
      <c r="G128" s="79" t="s">
        <v>649</v>
      </c>
      <c r="H128" s="80">
        <v>15</v>
      </c>
      <c r="I128" s="82" t="s">
        <v>213</v>
      </c>
      <c r="J128" s="82">
        <v>38.133330000000001</v>
      </c>
      <c r="K128" s="58">
        <v>1060766</v>
      </c>
      <c r="L128" s="59"/>
      <c r="M128" s="59"/>
      <c r="N128" s="59"/>
      <c r="O128" s="60">
        <f t="shared" si="16"/>
        <v>0</v>
      </c>
      <c r="P128" s="59"/>
      <c r="Q128" s="59"/>
      <c r="R128" s="61"/>
      <c r="S128" s="61"/>
      <c r="T128" s="61"/>
      <c r="U128" s="61"/>
      <c r="V128" s="61"/>
      <c r="W128" s="62">
        <v>0.11</v>
      </c>
      <c r="X128" s="63">
        <v>110</v>
      </c>
      <c r="Y128" s="62" t="str">
        <f t="shared" si="10"/>
        <v>CH649</v>
      </c>
      <c r="Z128" s="62" t="str">
        <f t="shared" si="11"/>
        <v xml:space="preserve"> 1/TSB-003A</v>
      </c>
      <c r="AA128" s="63">
        <f t="shared" si="12"/>
        <v>0.11</v>
      </c>
      <c r="AB128" s="63">
        <f t="shared" si="15"/>
        <v>38.133330000000001</v>
      </c>
      <c r="AC128" s="62">
        <f t="shared" si="13"/>
        <v>110</v>
      </c>
      <c r="AD128" s="62" t="str">
        <f t="shared" si="17"/>
        <v>66003-649</v>
      </c>
      <c r="AE128" s="64"/>
      <c r="AF128" s="65"/>
      <c r="AG128" s="20" t="s">
        <v>71</v>
      </c>
      <c r="AH128" s="29">
        <v>2976</v>
      </c>
      <c r="AI128" s="30">
        <v>45622</v>
      </c>
    </row>
    <row r="129" spans="1:35" x14ac:dyDescent="0.25">
      <c r="A129" s="67">
        <v>45630</v>
      </c>
      <c r="B129" s="39" t="s">
        <v>650</v>
      </c>
      <c r="C129" s="17" t="s">
        <v>651</v>
      </c>
      <c r="D129" s="17" t="s">
        <v>652</v>
      </c>
      <c r="E129" s="16">
        <v>45667</v>
      </c>
      <c r="F129" s="17" t="s">
        <v>653</v>
      </c>
      <c r="G129" s="18" t="s">
        <v>654</v>
      </c>
      <c r="H129" s="19">
        <v>50</v>
      </c>
      <c r="I129" s="17" t="s">
        <v>96</v>
      </c>
      <c r="J129" s="20">
        <v>6.09</v>
      </c>
      <c r="K129" s="58">
        <v>1061599</v>
      </c>
      <c r="L129" s="59"/>
      <c r="M129" s="59">
        <v>3.6</v>
      </c>
      <c r="N129" s="59">
        <v>4.9000000000000004</v>
      </c>
      <c r="O129" s="60">
        <f t="shared" si="16"/>
        <v>17.64</v>
      </c>
      <c r="P129" s="59" t="s">
        <v>655</v>
      </c>
      <c r="Q129" s="59" t="s">
        <v>42</v>
      </c>
      <c r="R129" s="61"/>
      <c r="S129" s="61"/>
      <c r="T129" s="61"/>
      <c r="U129" s="61"/>
      <c r="V129" s="61"/>
      <c r="W129" s="62">
        <v>0.25</v>
      </c>
      <c r="X129" s="63">
        <v>30</v>
      </c>
      <c r="Y129" s="62" t="str">
        <f t="shared" si="10"/>
        <v>RL1606</v>
      </c>
      <c r="Z129" s="62" t="str">
        <f t="shared" si="11"/>
        <v>1/INR21700-50E</v>
      </c>
      <c r="AA129" s="63">
        <f t="shared" si="12"/>
        <v>0.25</v>
      </c>
      <c r="AB129" s="63">
        <f t="shared" si="15"/>
        <v>6.09</v>
      </c>
      <c r="AC129" s="62">
        <f t="shared" si="13"/>
        <v>30</v>
      </c>
      <c r="AD129" s="62" t="str">
        <f t="shared" si="17"/>
        <v>66002-924</v>
      </c>
      <c r="AE129" s="64"/>
      <c r="AF129" s="65"/>
      <c r="AG129" s="20" t="s">
        <v>59</v>
      </c>
      <c r="AH129" s="29">
        <v>2164</v>
      </c>
      <c r="AI129" s="30">
        <v>45629</v>
      </c>
    </row>
    <row r="130" spans="1:35" x14ac:dyDescent="0.25">
      <c r="A130" s="67">
        <v>45630</v>
      </c>
      <c r="B130" s="39" t="s">
        <v>656</v>
      </c>
      <c r="C130" s="17" t="s">
        <v>657</v>
      </c>
      <c r="D130" s="17" t="s">
        <v>658</v>
      </c>
      <c r="E130" s="16">
        <v>45667</v>
      </c>
      <c r="F130" s="17" t="s">
        <v>653</v>
      </c>
      <c r="G130" s="18" t="s">
        <v>659</v>
      </c>
      <c r="H130" s="19">
        <v>50</v>
      </c>
      <c r="I130" s="17" t="s">
        <v>320</v>
      </c>
      <c r="J130" s="20">
        <v>4.8099999999999996</v>
      </c>
      <c r="K130" s="58">
        <v>1061599</v>
      </c>
      <c r="L130" s="59"/>
      <c r="M130" s="59">
        <v>3.6</v>
      </c>
      <c r="N130" s="59">
        <v>3.45</v>
      </c>
      <c r="O130" s="60">
        <f t="shared" si="16"/>
        <v>12.420000000000002</v>
      </c>
      <c r="P130" s="59" t="s">
        <v>655</v>
      </c>
      <c r="Q130" s="59" t="s">
        <v>42</v>
      </c>
      <c r="R130" s="61"/>
      <c r="S130" s="61"/>
      <c r="T130" s="61"/>
      <c r="U130" s="61"/>
      <c r="V130" s="61"/>
      <c r="W130" s="62">
        <v>0.27</v>
      </c>
      <c r="X130" s="63">
        <v>23</v>
      </c>
      <c r="Y130" s="62" t="str">
        <f t="shared" ref="Y130:Y193" si="18">D130</f>
        <v>RL1287</v>
      </c>
      <c r="Z130" s="62" t="str">
        <f t="shared" ref="Z130:Z193" si="19">C130</f>
        <v>1/NCR18650GA</v>
      </c>
      <c r="AA130" s="63">
        <f t="shared" ref="AA130:AA193" si="20">W130</f>
        <v>0.27</v>
      </c>
      <c r="AB130" s="63">
        <f t="shared" si="15"/>
        <v>4.8099999999999996</v>
      </c>
      <c r="AC130" s="62">
        <f t="shared" ref="AC130:AC193" si="21">X130</f>
        <v>23</v>
      </c>
      <c r="AD130" s="62" t="str">
        <f t="shared" si="17"/>
        <v>66002-206</v>
      </c>
      <c r="AE130" s="64"/>
      <c r="AF130" s="65"/>
      <c r="AG130" s="20" t="s">
        <v>59</v>
      </c>
      <c r="AH130" s="29">
        <v>2164</v>
      </c>
      <c r="AI130" s="30">
        <v>45629</v>
      </c>
    </row>
    <row r="131" spans="1:35" x14ac:dyDescent="0.25">
      <c r="A131" s="67">
        <v>45630</v>
      </c>
      <c r="B131" s="39" t="s">
        <v>660</v>
      </c>
      <c r="C131" s="17" t="s">
        <v>554</v>
      </c>
      <c r="D131" s="17" t="s">
        <v>574</v>
      </c>
      <c r="E131" s="16">
        <v>45681</v>
      </c>
      <c r="F131" s="17" t="s">
        <v>575</v>
      </c>
      <c r="G131" s="18" t="s">
        <v>576</v>
      </c>
      <c r="H131" s="19">
        <v>200</v>
      </c>
      <c r="I131" s="17" t="s">
        <v>88</v>
      </c>
      <c r="J131" s="20">
        <v>32.24</v>
      </c>
      <c r="K131" s="58">
        <v>1061574</v>
      </c>
      <c r="L131" s="59"/>
      <c r="M131" s="59">
        <v>8.4</v>
      </c>
      <c r="N131" s="59">
        <v>4.5</v>
      </c>
      <c r="O131" s="60">
        <f t="shared" si="16"/>
        <v>37.800000000000004</v>
      </c>
      <c r="P131" s="59" t="s">
        <v>154</v>
      </c>
      <c r="Q131" s="59" t="s">
        <v>557</v>
      </c>
      <c r="R131" s="61"/>
      <c r="S131" s="61"/>
      <c r="T131" s="61"/>
      <c r="U131" s="61"/>
      <c r="V131" s="61"/>
      <c r="W131" s="62">
        <v>0.35</v>
      </c>
      <c r="X131" s="63">
        <v>56</v>
      </c>
      <c r="Y131" s="62" t="str">
        <f t="shared" si="18"/>
        <v>N1387</v>
      </c>
      <c r="Z131" s="62" t="str">
        <f t="shared" si="19"/>
        <v>7/MH-C4500HT</v>
      </c>
      <c r="AA131" s="63">
        <f t="shared" si="20"/>
        <v>0.35</v>
      </c>
      <c r="AB131" s="63">
        <f t="shared" si="15"/>
        <v>32.24</v>
      </c>
      <c r="AC131" s="62">
        <f t="shared" si="21"/>
        <v>56</v>
      </c>
      <c r="AD131" s="62" t="str">
        <f t="shared" si="17"/>
        <v>66000-909</v>
      </c>
      <c r="AE131" s="64"/>
      <c r="AF131" s="65"/>
      <c r="AG131" s="20" t="s">
        <v>43</v>
      </c>
      <c r="AH131" s="29">
        <v>2906</v>
      </c>
      <c r="AI131" s="30">
        <v>45629</v>
      </c>
    </row>
    <row r="132" spans="1:35" x14ac:dyDescent="0.25">
      <c r="A132" s="56">
        <v>45631</v>
      </c>
      <c r="B132" s="57" t="s">
        <v>661</v>
      </c>
      <c r="C132" s="17" t="s">
        <v>662</v>
      </c>
      <c r="D132" s="17" t="s">
        <v>663</v>
      </c>
      <c r="E132" s="16">
        <v>45681</v>
      </c>
      <c r="F132" s="17" t="s">
        <v>664</v>
      </c>
      <c r="G132" s="18" t="s">
        <v>665</v>
      </c>
      <c r="H132" s="19">
        <v>50</v>
      </c>
      <c r="I132" s="17" t="s">
        <v>666</v>
      </c>
      <c r="J132" s="20">
        <v>9.9700000000000006</v>
      </c>
      <c r="K132" s="58">
        <v>1061610</v>
      </c>
      <c r="L132" s="59"/>
      <c r="M132" s="59">
        <v>3.6</v>
      </c>
      <c r="N132" s="59">
        <v>4</v>
      </c>
      <c r="O132" s="60">
        <f t="shared" si="16"/>
        <v>14.4</v>
      </c>
      <c r="P132" s="59" t="s">
        <v>667</v>
      </c>
      <c r="Q132" s="59" t="s">
        <v>98</v>
      </c>
      <c r="R132" s="61"/>
      <c r="S132" s="61"/>
      <c r="T132" s="61"/>
      <c r="U132" s="61"/>
      <c r="V132" s="61"/>
      <c r="W132" s="62">
        <v>0.25</v>
      </c>
      <c r="X132" s="63">
        <v>23.48</v>
      </c>
      <c r="Y132" s="62" t="str">
        <f t="shared" si="18"/>
        <v>N2180</v>
      </c>
      <c r="Z132" s="62" t="str">
        <f t="shared" si="19"/>
        <v>3/ITL4000D</v>
      </c>
      <c r="AA132" s="63">
        <f t="shared" si="20"/>
        <v>0.25</v>
      </c>
      <c r="AB132" s="63">
        <f t="shared" si="15"/>
        <v>9.9700000000000006</v>
      </c>
      <c r="AC132" s="62">
        <f t="shared" si="21"/>
        <v>23.48</v>
      </c>
      <c r="AD132" s="62" t="str">
        <f t="shared" si="17"/>
        <v>66003-350</v>
      </c>
      <c r="AE132" s="64"/>
      <c r="AF132" s="65"/>
      <c r="AG132" s="20" t="s">
        <v>445</v>
      </c>
      <c r="AH132" s="29">
        <v>35572</v>
      </c>
      <c r="AI132" s="30">
        <v>45629</v>
      </c>
    </row>
    <row r="133" spans="1:35" x14ac:dyDescent="0.25">
      <c r="A133" s="56">
        <v>45631</v>
      </c>
      <c r="B133" s="57" t="s">
        <v>668</v>
      </c>
      <c r="C133" s="17" t="s">
        <v>669</v>
      </c>
      <c r="D133" s="17" t="s">
        <v>670</v>
      </c>
      <c r="E133" s="16">
        <v>45667</v>
      </c>
      <c r="F133" s="17" t="s">
        <v>136</v>
      </c>
      <c r="G133" s="18" t="s">
        <v>671</v>
      </c>
      <c r="H133" s="19">
        <v>500</v>
      </c>
      <c r="I133" s="17" t="s">
        <v>243</v>
      </c>
      <c r="J133" s="20">
        <v>27.27</v>
      </c>
      <c r="K133" s="58">
        <v>1061658</v>
      </c>
      <c r="L133" s="59"/>
      <c r="M133" s="59">
        <v>3.6</v>
      </c>
      <c r="N133" s="59">
        <v>16.75</v>
      </c>
      <c r="O133" s="60">
        <f t="shared" si="16"/>
        <v>60.300000000000004</v>
      </c>
      <c r="P133" s="59" t="s">
        <v>655</v>
      </c>
      <c r="Q133" s="59" t="s">
        <v>672</v>
      </c>
      <c r="R133" s="61"/>
      <c r="S133" s="61"/>
      <c r="T133" s="61"/>
      <c r="U133" s="61"/>
      <c r="V133" s="61"/>
      <c r="W133" s="62">
        <v>0.39</v>
      </c>
      <c r="X133" s="63">
        <v>50</v>
      </c>
      <c r="Y133" s="62" t="str">
        <f t="shared" si="18"/>
        <v>RL1440</v>
      </c>
      <c r="Z133" s="62" t="str">
        <f t="shared" si="19"/>
        <v>5/NCR18650BF</v>
      </c>
      <c r="AA133" s="63">
        <f t="shared" si="20"/>
        <v>0.39</v>
      </c>
      <c r="AB133" s="63">
        <f t="shared" si="15"/>
        <v>27.27</v>
      </c>
      <c r="AC133" s="62">
        <f t="shared" si="21"/>
        <v>50</v>
      </c>
      <c r="AD133" s="62" t="str">
        <f t="shared" si="17"/>
        <v>67001-849</v>
      </c>
      <c r="AE133" s="64"/>
      <c r="AF133" s="65"/>
      <c r="AG133" s="20" t="s">
        <v>43</v>
      </c>
      <c r="AH133" s="29">
        <v>24081</v>
      </c>
      <c r="AI133" s="30">
        <v>45630</v>
      </c>
    </row>
    <row r="134" spans="1:35" x14ac:dyDescent="0.25">
      <c r="A134" s="56">
        <v>45631</v>
      </c>
      <c r="B134" s="57" t="s">
        <v>673</v>
      </c>
      <c r="C134" s="17" t="s">
        <v>674</v>
      </c>
      <c r="D134" s="17" t="s">
        <v>675</v>
      </c>
      <c r="E134" s="16">
        <v>45684</v>
      </c>
      <c r="F134" s="17" t="s">
        <v>599</v>
      </c>
      <c r="G134" s="18" t="s">
        <v>676</v>
      </c>
      <c r="H134" s="19">
        <v>18</v>
      </c>
      <c r="I134" s="17" t="s">
        <v>198</v>
      </c>
      <c r="J134" s="20">
        <v>78.900000000000006</v>
      </c>
      <c r="K134" s="58">
        <v>1061854</v>
      </c>
      <c r="L134" s="59"/>
      <c r="M134" s="59">
        <v>21.6</v>
      </c>
      <c r="N134" s="59">
        <v>4.5</v>
      </c>
      <c r="O134" s="60">
        <f t="shared" si="16"/>
        <v>97.2</v>
      </c>
      <c r="P134" s="59" t="s">
        <v>655</v>
      </c>
      <c r="Q134" s="59" t="s">
        <v>566</v>
      </c>
      <c r="R134" s="61"/>
      <c r="S134" s="61"/>
      <c r="T134" s="61"/>
      <c r="U134" s="61"/>
      <c r="V134" s="61"/>
      <c r="W134" s="62">
        <v>1.83</v>
      </c>
      <c r="X134" s="63">
        <v>390</v>
      </c>
      <c r="Y134" s="62" t="str">
        <f t="shared" si="18"/>
        <v>RL638PKA</v>
      </c>
      <c r="Z134" s="62" t="str">
        <f t="shared" si="19"/>
        <v>12/UR18650A</v>
      </c>
      <c r="AA134" s="63">
        <f t="shared" si="20"/>
        <v>1.83</v>
      </c>
      <c r="AB134" s="63">
        <f t="shared" si="15"/>
        <v>78.900000000000006</v>
      </c>
      <c r="AC134" s="62">
        <f t="shared" si="21"/>
        <v>390</v>
      </c>
      <c r="AD134" s="62" t="str">
        <f t="shared" si="17"/>
        <v>66000-887PKA</v>
      </c>
      <c r="AE134" s="64"/>
      <c r="AF134" s="65"/>
      <c r="AG134" s="20" t="s">
        <v>108</v>
      </c>
      <c r="AH134" s="29">
        <v>25091</v>
      </c>
      <c r="AI134" s="30">
        <v>45631</v>
      </c>
    </row>
    <row r="135" spans="1:35" x14ac:dyDescent="0.25">
      <c r="A135" s="56">
        <v>45631</v>
      </c>
      <c r="B135" s="57" t="s">
        <v>677</v>
      </c>
      <c r="C135" s="17" t="s">
        <v>597</v>
      </c>
      <c r="D135" s="17" t="s">
        <v>598</v>
      </c>
      <c r="E135" s="16">
        <v>45684</v>
      </c>
      <c r="F135" s="17" t="s">
        <v>599</v>
      </c>
      <c r="G135" s="18" t="s">
        <v>600</v>
      </c>
      <c r="H135" s="19">
        <v>6</v>
      </c>
      <c r="I135" s="17" t="s">
        <v>212</v>
      </c>
      <c r="J135" s="20">
        <v>300.69</v>
      </c>
      <c r="K135" s="58">
        <v>1061854</v>
      </c>
      <c r="L135" s="59"/>
      <c r="M135" s="59"/>
      <c r="N135" s="59"/>
      <c r="O135" s="60">
        <f t="shared" si="16"/>
        <v>0</v>
      </c>
      <c r="P135" s="59"/>
      <c r="Q135" s="59"/>
      <c r="R135" s="61"/>
      <c r="S135" s="61"/>
      <c r="T135" s="61"/>
      <c r="U135" s="61"/>
      <c r="V135" s="61"/>
      <c r="W135" s="62">
        <v>4.05</v>
      </c>
      <c r="X135" s="63">
        <v>562</v>
      </c>
      <c r="Y135" s="62" t="str">
        <f t="shared" si="18"/>
        <v>CH605</v>
      </c>
      <c r="Z135" s="62" t="str">
        <f t="shared" si="19"/>
        <v>TSB004PCBR1</v>
      </c>
      <c r="AA135" s="63">
        <f t="shared" si="20"/>
        <v>4.05</v>
      </c>
      <c r="AB135" s="63">
        <f t="shared" si="15"/>
        <v>300.69</v>
      </c>
      <c r="AC135" s="62">
        <f t="shared" si="21"/>
        <v>562</v>
      </c>
      <c r="AD135" s="62" t="str">
        <f t="shared" si="17"/>
        <v>66003-605</v>
      </c>
      <c r="AE135" s="64"/>
      <c r="AF135" s="65"/>
      <c r="AG135" s="20" t="s">
        <v>108</v>
      </c>
      <c r="AH135" s="29">
        <v>25091</v>
      </c>
      <c r="AI135" s="30">
        <v>45631</v>
      </c>
    </row>
    <row r="136" spans="1:35" x14ac:dyDescent="0.25">
      <c r="A136" s="56">
        <v>45631</v>
      </c>
      <c r="B136" s="57" t="s">
        <v>678</v>
      </c>
      <c r="C136" s="17" t="s">
        <v>674</v>
      </c>
      <c r="D136" s="17" t="s">
        <v>679</v>
      </c>
      <c r="E136" s="16">
        <v>45684</v>
      </c>
      <c r="F136" s="17" t="s">
        <v>599</v>
      </c>
      <c r="G136" s="18" t="s">
        <v>680</v>
      </c>
      <c r="H136" s="19">
        <v>18</v>
      </c>
      <c r="I136" s="17" t="s">
        <v>198</v>
      </c>
      <c r="J136" s="20">
        <v>74.19</v>
      </c>
      <c r="K136" s="58">
        <v>1061854</v>
      </c>
      <c r="L136" s="59"/>
      <c r="M136" s="59">
        <v>21.6</v>
      </c>
      <c r="N136" s="59">
        <v>4.5</v>
      </c>
      <c r="O136" s="60">
        <f t="shared" si="16"/>
        <v>97.2</v>
      </c>
      <c r="P136" s="59" t="s">
        <v>655</v>
      </c>
      <c r="Q136" s="59" t="s">
        <v>566</v>
      </c>
      <c r="R136" s="61"/>
      <c r="S136" s="61"/>
      <c r="T136" s="61"/>
      <c r="U136" s="61"/>
      <c r="V136" s="61"/>
      <c r="W136" s="62">
        <v>1.36</v>
      </c>
      <c r="X136" s="63">
        <v>350</v>
      </c>
      <c r="Y136" s="62" t="str">
        <f t="shared" si="18"/>
        <v>RL638PKB</v>
      </c>
      <c r="Z136" s="62" t="str">
        <f t="shared" si="19"/>
        <v>12/UR18650A</v>
      </c>
      <c r="AA136" s="63">
        <f t="shared" si="20"/>
        <v>1.36</v>
      </c>
      <c r="AB136" s="63">
        <f t="shared" si="15"/>
        <v>74.19</v>
      </c>
      <c r="AC136" s="62">
        <f t="shared" si="21"/>
        <v>350</v>
      </c>
      <c r="AD136" s="62" t="str">
        <f t="shared" si="17"/>
        <v>66000-887PKB</v>
      </c>
      <c r="AE136" s="64"/>
      <c r="AF136" s="65"/>
      <c r="AG136" s="20" t="s">
        <v>108</v>
      </c>
      <c r="AH136" s="29">
        <v>25091</v>
      </c>
      <c r="AI136" s="30">
        <v>45631</v>
      </c>
    </row>
    <row r="137" spans="1:35" x14ac:dyDescent="0.25">
      <c r="A137" s="72">
        <v>45632</v>
      </c>
      <c r="B137" s="73" t="s">
        <v>681</v>
      </c>
      <c r="C137" s="17" t="s">
        <v>682</v>
      </c>
      <c r="D137" s="17" t="s">
        <v>683</v>
      </c>
      <c r="E137" s="16">
        <v>45716</v>
      </c>
      <c r="F137" s="17" t="s">
        <v>664</v>
      </c>
      <c r="G137" s="18" t="s">
        <v>684</v>
      </c>
      <c r="H137" s="19">
        <v>50</v>
      </c>
      <c r="I137" s="17" t="s">
        <v>685</v>
      </c>
      <c r="J137" s="20">
        <v>8.16</v>
      </c>
      <c r="K137" s="58">
        <v>1061998</v>
      </c>
      <c r="L137" s="59"/>
      <c r="M137" s="59">
        <v>6</v>
      </c>
      <c r="N137" s="59">
        <v>1.8</v>
      </c>
      <c r="O137" s="60">
        <f t="shared" si="16"/>
        <v>10.8</v>
      </c>
      <c r="P137" s="59" t="s">
        <v>667</v>
      </c>
      <c r="Q137" s="59" t="s">
        <v>308</v>
      </c>
      <c r="R137" s="61"/>
      <c r="S137" s="61"/>
      <c r="T137" s="61"/>
      <c r="U137" s="61"/>
      <c r="V137" s="61"/>
      <c r="W137" s="62">
        <v>0.25</v>
      </c>
      <c r="X137" s="63">
        <v>38.200000000000003</v>
      </c>
      <c r="Y137" s="62" t="str">
        <f t="shared" si="18"/>
        <v>N2171</v>
      </c>
      <c r="Z137" s="62" t="str">
        <f t="shared" si="19"/>
        <v>5/IT1800Cs</v>
      </c>
      <c r="AA137" s="63">
        <f t="shared" si="20"/>
        <v>0.25</v>
      </c>
      <c r="AB137" s="63">
        <f t="shared" si="15"/>
        <v>8.16</v>
      </c>
      <c r="AC137" s="62">
        <f t="shared" si="21"/>
        <v>38.200000000000003</v>
      </c>
      <c r="AD137" s="62" t="str">
        <f t="shared" si="17"/>
        <v>66003-340</v>
      </c>
      <c r="AE137" s="64"/>
      <c r="AF137" s="65"/>
      <c r="AG137" s="20" t="s">
        <v>445</v>
      </c>
      <c r="AH137" s="29">
        <v>35572</v>
      </c>
      <c r="AI137" s="30">
        <v>45632</v>
      </c>
    </row>
    <row r="138" spans="1:35" x14ac:dyDescent="0.25">
      <c r="A138" s="72">
        <v>45632</v>
      </c>
      <c r="B138" s="73" t="s">
        <v>686</v>
      </c>
      <c r="C138" s="17" t="s">
        <v>687</v>
      </c>
      <c r="D138" s="17" t="s">
        <v>688</v>
      </c>
      <c r="E138" s="16">
        <v>45716</v>
      </c>
      <c r="F138" s="17" t="s">
        <v>664</v>
      </c>
      <c r="G138" s="18" t="s">
        <v>689</v>
      </c>
      <c r="H138" s="19">
        <v>50</v>
      </c>
      <c r="I138" s="17" t="s">
        <v>666</v>
      </c>
      <c r="J138" s="20">
        <v>16.329999999999998</v>
      </c>
      <c r="K138" s="58">
        <v>1061998</v>
      </c>
      <c r="L138" s="59"/>
      <c r="M138" s="59">
        <v>6</v>
      </c>
      <c r="N138" s="59">
        <v>4</v>
      </c>
      <c r="O138" s="60">
        <f t="shared" si="16"/>
        <v>24</v>
      </c>
      <c r="P138" s="59" t="s">
        <v>667</v>
      </c>
      <c r="Q138" s="59" t="s">
        <v>308</v>
      </c>
      <c r="R138" s="61"/>
      <c r="S138" s="61"/>
      <c r="T138" s="61"/>
      <c r="U138" s="61"/>
      <c r="V138" s="61"/>
      <c r="W138" s="62">
        <v>0.25</v>
      </c>
      <c r="X138" s="63">
        <v>65.5</v>
      </c>
      <c r="Y138" s="62" t="str">
        <f t="shared" si="18"/>
        <v>N2172</v>
      </c>
      <c r="Z138" s="62" t="str">
        <f t="shared" si="19"/>
        <v>5/ITL4000D</v>
      </c>
      <c r="AA138" s="63">
        <f t="shared" si="20"/>
        <v>0.25</v>
      </c>
      <c r="AB138" s="63">
        <f t="shared" si="15"/>
        <v>16.329999999999998</v>
      </c>
      <c r="AC138" s="62">
        <f t="shared" si="21"/>
        <v>65.5</v>
      </c>
      <c r="AD138" s="62" t="str">
        <f t="shared" si="17"/>
        <v>66003-341</v>
      </c>
      <c r="AE138" s="64"/>
      <c r="AF138" s="65"/>
      <c r="AG138" s="20" t="s">
        <v>445</v>
      </c>
      <c r="AH138" s="29">
        <v>35572</v>
      </c>
      <c r="AI138" s="30">
        <v>45632</v>
      </c>
    </row>
    <row r="139" spans="1:35" x14ac:dyDescent="0.25">
      <c r="A139" s="72">
        <v>45632</v>
      </c>
      <c r="B139" s="73" t="s">
        <v>690</v>
      </c>
      <c r="C139" s="17" t="s">
        <v>691</v>
      </c>
      <c r="D139" s="17" t="s">
        <v>692</v>
      </c>
      <c r="E139" s="16">
        <v>45716</v>
      </c>
      <c r="F139" s="17" t="s">
        <v>664</v>
      </c>
      <c r="G139" s="18" t="s">
        <v>693</v>
      </c>
      <c r="H139" s="19">
        <v>50</v>
      </c>
      <c r="I139" s="17" t="s">
        <v>685</v>
      </c>
      <c r="J139" s="20">
        <v>11.26</v>
      </c>
      <c r="K139" s="58">
        <v>1061998</v>
      </c>
      <c r="L139" s="59"/>
      <c r="M139" s="59">
        <v>8.4</v>
      </c>
      <c r="N139" s="59">
        <v>1.8</v>
      </c>
      <c r="O139" s="60">
        <f t="shared" si="16"/>
        <v>15.120000000000001</v>
      </c>
      <c r="P139" s="59" t="s">
        <v>667</v>
      </c>
      <c r="Q139" s="59" t="s">
        <v>557</v>
      </c>
      <c r="R139" s="61"/>
      <c r="S139" s="61"/>
      <c r="T139" s="61"/>
      <c r="U139" s="61"/>
      <c r="V139" s="61"/>
      <c r="W139" s="62">
        <v>0.25</v>
      </c>
      <c r="X139" s="63">
        <v>62</v>
      </c>
      <c r="Y139" s="62" t="str">
        <f t="shared" si="18"/>
        <v>N2176</v>
      </c>
      <c r="Z139" s="62" t="str">
        <f t="shared" si="19"/>
        <v>7/IT1800Cs</v>
      </c>
      <c r="AA139" s="63">
        <f t="shared" si="20"/>
        <v>0.25</v>
      </c>
      <c r="AB139" s="63">
        <f t="shared" si="15"/>
        <v>11.26</v>
      </c>
      <c r="AC139" s="62">
        <f t="shared" si="21"/>
        <v>62</v>
      </c>
      <c r="AD139" s="62" t="str">
        <f t="shared" si="17"/>
        <v>66003-345</v>
      </c>
      <c r="AE139" s="64"/>
      <c r="AF139" s="65"/>
      <c r="AG139" s="20" t="s">
        <v>445</v>
      </c>
      <c r="AH139" s="29">
        <v>35572</v>
      </c>
      <c r="AI139" s="30">
        <v>45632</v>
      </c>
    </row>
    <row r="140" spans="1:35" x14ac:dyDescent="0.25">
      <c r="A140" s="72">
        <v>45632</v>
      </c>
      <c r="B140" s="73" t="s">
        <v>694</v>
      </c>
      <c r="C140" s="17" t="s">
        <v>662</v>
      </c>
      <c r="D140" s="17" t="s">
        <v>695</v>
      </c>
      <c r="E140" s="16">
        <v>45716</v>
      </c>
      <c r="F140" s="17" t="s">
        <v>664</v>
      </c>
      <c r="G140" s="18" t="s">
        <v>696</v>
      </c>
      <c r="H140" s="19">
        <v>50</v>
      </c>
      <c r="I140" s="17" t="s">
        <v>666</v>
      </c>
      <c r="J140" s="20">
        <v>9.9700000000000006</v>
      </c>
      <c r="K140" s="58">
        <v>1061998</v>
      </c>
      <c r="L140" s="59"/>
      <c r="M140" s="59">
        <v>3.6</v>
      </c>
      <c r="N140" s="59">
        <v>4</v>
      </c>
      <c r="O140" s="60">
        <f t="shared" si="16"/>
        <v>14.4</v>
      </c>
      <c r="P140" s="59" t="s">
        <v>667</v>
      </c>
      <c r="Q140" s="59" t="s">
        <v>98</v>
      </c>
      <c r="R140" s="61"/>
      <c r="S140" s="61"/>
      <c r="T140" s="61"/>
      <c r="U140" s="61"/>
      <c r="V140" s="61"/>
      <c r="W140" s="62">
        <v>0.25</v>
      </c>
      <c r="X140" s="63">
        <v>39.5</v>
      </c>
      <c r="Y140" s="62" t="str">
        <f t="shared" si="18"/>
        <v>N2173</v>
      </c>
      <c r="Z140" s="62" t="str">
        <f t="shared" si="19"/>
        <v>3/ITL4000D</v>
      </c>
      <c r="AA140" s="63">
        <f t="shared" si="20"/>
        <v>0.25</v>
      </c>
      <c r="AB140" s="63">
        <f t="shared" si="15"/>
        <v>9.9700000000000006</v>
      </c>
      <c r="AC140" s="62">
        <f t="shared" si="21"/>
        <v>39.5</v>
      </c>
      <c r="AD140" s="62" t="str">
        <f t="shared" si="17"/>
        <v>66003-342</v>
      </c>
      <c r="AE140" s="64"/>
      <c r="AF140" s="65"/>
      <c r="AG140" s="20" t="s">
        <v>445</v>
      </c>
      <c r="AH140" s="29">
        <v>35572</v>
      </c>
      <c r="AI140" s="30">
        <v>45632</v>
      </c>
    </row>
    <row r="141" spans="1:35" x14ac:dyDescent="0.25">
      <c r="A141" s="72">
        <v>45632</v>
      </c>
      <c r="B141" s="73" t="s">
        <v>697</v>
      </c>
      <c r="C141" s="17" t="s">
        <v>687</v>
      </c>
      <c r="D141" s="17" t="s">
        <v>698</v>
      </c>
      <c r="E141" s="16">
        <v>45716</v>
      </c>
      <c r="F141" s="17" t="s">
        <v>664</v>
      </c>
      <c r="G141" s="18" t="s">
        <v>699</v>
      </c>
      <c r="H141" s="19">
        <v>50</v>
      </c>
      <c r="I141" s="17" t="s">
        <v>666</v>
      </c>
      <c r="J141" s="20">
        <v>16.2</v>
      </c>
      <c r="K141" s="58">
        <v>1061998</v>
      </c>
      <c r="L141" s="59"/>
      <c r="M141" s="59">
        <v>6</v>
      </c>
      <c r="N141" s="59">
        <v>4</v>
      </c>
      <c r="O141" s="60">
        <f t="shared" si="16"/>
        <v>24</v>
      </c>
      <c r="P141" s="59" t="s">
        <v>667</v>
      </c>
      <c r="Q141" s="59" t="s">
        <v>308</v>
      </c>
      <c r="R141" s="61"/>
      <c r="S141" s="61"/>
      <c r="T141" s="61"/>
      <c r="U141" s="61"/>
      <c r="V141" s="61"/>
      <c r="W141" s="62">
        <v>0.25</v>
      </c>
      <c r="X141" s="63">
        <v>64.8</v>
      </c>
      <c r="Y141" s="62" t="str">
        <f t="shared" si="18"/>
        <v>N2174</v>
      </c>
      <c r="Z141" s="62" t="str">
        <f t="shared" si="19"/>
        <v>5/ITL4000D</v>
      </c>
      <c r="AA141" s="63">
        <f t="shared" si="20"/>
        <v>0.25</v>
      </c>
      <c r="AB141" s="63">
        <f t="shared" si="15"/>
        <v>16.2</v>
      </c>
      <c r="AC141" s="62">
        <f t="shared" si="21"/>
        <v>64.8</v>
      </c>
      <c r="AD141" s="62" t="str">
        <f t="shared" si="17"/>
        <v>66003-343</v>
      </c>
      <c r="AE141" s="64"/>
      <c r="AF141" s="65"/>
      <c r="AG141" s="20" t="s">
        <v>445</v>
      </c>
      <c r="AH141" s="29">
        <v>35572</v>
      </c>
      <c r="AI141" s="30">
        <v>45632</v>
      </c>
    </row>
    <row r="142" spans="1:35" x14ac:dyDescent="0.25">
      <c r="A142" s="71">
        <v>45635</v>
      </c>
      <c r="B142" s="37" t="s">
        <v>700</v>
      </c>
      <c r="C142" s="17" t="s">
        <v>701</v>
      </c>
      <c r="D142" s="17" t="s">
        <v>702</v>
      </c>
      <c r="E142" s="16">
        <v>45672</v>
      </c>
      <c r="F142" s="17" t="s">
        <v>363</v>
      </c>
      <c r="G142" s="18" t="s">
        <v>703</v>
      </c>
      <c r="H142" s="19">
        <v>12</v>
      </c>
      <c r="I142" s="17" t="s">
        <v>534</v>
      </c>
      <c r="J142" s="20">
        <v>15.05</v>
      </c>
      <c r="K142" s="58">
        <v>1062057</v>
      </c>
      <c r="L142" s="59"/>
      <c r="M142" s="59">
        <v>7.2</v>
      </c>
      <c r="N142" s="59">
        <v>2.5</v>
      </c>
      <c r="O142" s="60">
        <f t="shared" si="16"/>
        <v>18</v>
      </c>
      <c r="P142" s="59" t="s">
        <v>154</v>
      </c>
      <c r="Q142" s="59" t="s">
        <v>90</v>
      </c>
      <c r="R142" s="61"/>
      <c r="S142" s="61"/>
      <c r="T142" s="61"/>
      <c r="U142" s="61"/>
      <c r="V142" s="61"/>
      <c r="W142" s="62">
        <v>0.37</v>
      </c>
      <c r="X142" s="63">
        <v>76</v>
      </c>
      <c r="Y142" s="62" t="str">
        <f t="shared" si="18"/>
        <v>N289A</v>
      </c>
      <c r="Z142" s="62" t="str">
        <f t="shared" si="19"/>
        <v>6/HR-3UTHC</v>
      </c>
      <c r="AA142" s="63">
        <f t="shared" si="20"/>
        <v>0.37</v>
      </c>
      <c r="AB142" s="63">
        <f t="shared" si="15"/>
        <v>15.05</v>
      </c>
      <c r="AC142" s="62">
        <f t="shared" si="21"/>
        <v>76</v>
      </c>
      <c r="AD142" s="62" t="str">
        <f t="shared" si="17"/>
        <v>67001-392A</v>
      </c>
      <c r="AE142" s="64"/>
      <c r="AF142" s="65"/>
      <c r="AG142" s="20" t="s">
        <v>704</v>
      </c>
      <c r="AH142" s="29">
        <v>27233</v>
      </c>
      <c r="AI142" s="30">
        <v>45632</v>
      </c>
    </row>
    <row r="143" spans="1:35" x14ac:dyDescent="0.25">
      <c r="A143" s="66">
        <v>45636</v>
      </c>
      <c r="B143" s="13" t="s">
        <v>705</v>
      </c>
      <c r="C143" s="17" t="s">
        <v>706</v>
      </c>
      <c r="D143" s="17" t="s">
        <v>707</v>
      </c>
      <c r="E143" s="16">
        <v>45709</v>
      </c>
      <c r="F143" s="17" t="s">
        <v>664</v>
      </c>
      <c r="G143" s="18" t="s">
        <v>708</v>
      </c>
      <c r="H143" s="19">
        <v>50</v>
      </c>
      <c r="I143" s="17" t="s">
        <v>685</v>
      </c>
      <c r="J143" s="20">
        <v>6.61</v>
      </c>
      <c r="K143" s="58">
        <v>1062199</v>
      </c>
      <c r="L143" s="59"/>
      <c r="M143" s="59">
        <v>4.8</v>
      </c>
      <c r="N143" s="59">
        <v>1.8</v>
      </c>
      <c r="O143" s="60">
        <f t="shared" si="16"/>
        <v>8.64</v>
      </c>
      <c r="P143" s="59" t="s">
        <v>667</v>
      </c>
      <c r="Q143" s="59" t="s">
        <v>270</v>
      </c>
      <c r="R143" s="61"/>
      <c r="S143" s="61"/>
      <c r="T143" s="61"/>
      <c r="U143" s="61"/>
      <c r="V143" s="61"/>
      <c r="W143" s="62">
        <v>0.5</v>
      </c>
      <c r="X143" s="63">
        <v>33.200000000000003</v>
      </c>
      <c r="Y143" s="62" t="str">
        <f t="shared" si="18"/>
        <v>N2175</v>
      </c>
      <c r="Z143" s="62" t="str">
        <f t="shared" si="19"/>
        <v>4/IT1800Cs</v>
      </c>
      <c r="AA143" s="63">
        <f t="shared" si="20"/>
        <v>0.5</v>
      </c>
      <c r="AB143" s="63">
        <f t="shared" si="15"/>
        <v>6.61</v>
      </c>
      <c r="AC143" s="62">
        <f t="shared" si="21"/>
        <v>33.200000000000003</v>
      </c>
      <c r="AD143" s="62" t="str">
        <f t="shared" si="17"/>
        <v>66003-344</v>
      </c>
      <c r="AE143" s="64"/>
      <c r="AF143" s="65"/>
      <c r="AG143" s="20" t="s">
        <v>445</v>
      </c>
      <c r="AH143" s="29">
        <v>35572</v>
      </c>
      <c r="AI143" s="30">
        <v>45635</v>
      </c>
    </row>
    <row r="144" spans="1:35" x14ac:dyDescent="0.25">
      <c r="A144" s="67">
        <v>45637</v>
      </c>
      <c r="B144" s="39" t="s">
        <v>709</v>
      </c>
      <c r="C144" s="17" t="s">
        <v>710</v>
      </c>
      <c r="D144" s="17" t="s">
        <v>711</v>
      </c>
      <c r="E144" s="16">
        <v>45677</v>
      </c>
      <c r="F144" s="17" t="s">
        <v>712</v>
      </c>
      <c r="G144" s="18" t="s">
        <v>713</v>
      </c>
      <c r="H144" s="19">
        <v>5</v>
      </c>
      <c r="I144" s="17" t="s">
        <v>714</v>
      </c>
      <c r="J144" s="20">
        <v>12.56</v>
      </c>
      <c r="K144" s="58">
        <v>1062240</v>
      </c>
      <c r="L144" s="59"/>
      <c r="M144" s="59">
        <v>12</v>
      </c>
      <c r="N144" s="59">
        <v>1.6</v>
      </c>
      <c r="O144" s="60">
        <f t="shared" si="16"/>
        <v>19.200000000000003</v>
      </c>
      <c r="P144" s="59" t="s">
        <v>667</v>
      </c>
      <c r="Q144" s="59" t="s">
        <v>155</v>
      </c>
      <c r="R144" s="61"/>
      <c r="S144" s="61"/>
      <c r="T144" s="61"/>
      <c r="U144" s="61"/>
      <c r="V144" s="61"/>
      <c r="W144" s="62">
        <v>1.41</v>
      </c>
      <c r="X144" s="63">
        <v>75</v>
      </c>
      <c r="Y144" s="62" t="str">
        <f t="shared" si="18"/>
        <v>N2157</v>
      </c>
      <c r="Z144" s="62" t="str">
        <f t="shared" si="19"/>
        <v>10/IT1600Cs</v>
      </c>
      <c r="AA144" s="63">
        <f t="shared" si="20"/>
        <v>1.41</v>
      </c>
      <c r="AB144" s="63">
        <f t="shared" si="15"/>
        <v>12.56</v>
      </c>
      <c r="AC144" s="62">
        <f t="shared" si="21"/>
        <v>75</v>
      </c>
      <c r="AD144" s="62" t="str">
        <f t="shared" si="17"/>
        <v>66003-325</v>
      </c>
      <c r="AE144" s="64"/>
      <c r="AF144" s="65"/>
      <c r="AG144" s="20" t="s">
        <v>445</v>
      </c>
      <c r="AH144" s="29">
        <v>3066</v>
      </c>
      <c r="AI144" s="30">
        <v>45635</v>
      </c>
    </row>
    <row r="145" spans="1:35" x14ac:dyDescent="0.25">
      <c r="A145" s="67">
        <v>45637</v>
      </c>
      <c r="B145" s="39" t="s">
        <v>715</v>
      </c>
      <c r="C145" s="17" t="s">
        <v>436</v>
      </c>
      <c r="D145" s="17" t="s">
        <v>716</v>
      </c>
      <c r="E145" s="16">
        <v>45679</v>
      </c>
      <c r="F145" s="17" t="s">
        <v>717</v>
      </c>
      <c r="G145" s="18" t="s">
        <v>501</v>
      </c>
      <c r="H145" s="19">
        <v>1</v>
      </c>
      <c r="I145" s="17" t="s">
        <v>243</v>
      </c>
      <c r="J145" s="20">
        <v>15.31</v>
      </c>
      <c r="K145" s="58">
        <v>1062497</v>
      </c>
      <c r="L145" s="59"/>
      <c r="M145" s="59">
        <v>10.8</v>
      </c>
      <c r="N145" s="59">
        <v>3.35</v>
      </c>
      <c r="O145" s="60">
        <f t="shared" si="16"/>
        <v>36.180000000000007</v>
      </c>
      <c r="P145" s="59" t="s">
        <v>655</v>
      </c>
      <c r="Q145" s="59" t="s">
        <v>98</v>
      </c>
      <c r="R145" s="61"/>
      <c r="S145" s="61"/>
      <c r="T145" s="61"/>
      <c r="U145" s="61"/>
      <c r="V145" s="61"/>
      <c r="W145" s="62">
        <v>1.1200000000000001</v>
      </c>
      <c r="X145" s="63">
        <v>80.39</v>
      </c>
      <c r="Y145" s="62" t="str">
        <f t="shared" si="18"/>
        <v>RECELL 381</v>
      </c>
      <c r="Z145" s="62" t="str">
        <f t="shared" si="19"/>
        <v>3/NCR18650BF</v>
      </c>
      <c r="AA145" s="63">
        <f t="shared" si="20"/>
        <v>1.1200000000000001</v>
      </c>
      <c r="AB145" s="63">
        <f t="shared" ref="AB145:AB195" si="22">J145</f>
        <v>15.31</v>
      </c>
      <c r="AC145" s="62">
        <f t="shared" si="21"/>
        <v>80.39</v>
      </c>
      <c r="AD145" s="62" t="str">
        <f t="shared" si="17"/>
        <v>22000-535F</v>
      </c>
      <c r="AE145" s="64"/>
      <c r="AF145" s="65"/>
      <c r="AG145" s="20" t="s">
        <v>445</v>
      </c>
      <c r="AH145" s="29" t="s">
        <v>718</v>
      </c>
      <c r="AI145" s="30">
        <v>45637</v>
      </c>
    </row>
    <row r="146" spans="1:35" x14ac:dyDescent="0.25">
      <c r="A146" s="56">
        <v>45638</v>
      </c>
      <c r="B146" s="57" t="s">
        <v>719</v>
      </c>
      <c r="C146" s="17" t="s">
        <v>720</v>
      </c>
      <c r="D146" s="17" t="s">
        <v>721</v>
      </c>
      <c r="E146" s="16">
        <v>45679</v>
      </c>
      <c r="F146" s="17" t="s">
        <v>164</v>
      </c>
      <c r="G146" s="18" t="s">
        <v>722</v>
      </c>
      <c r="H146" s="19">
        <v>1</v>
      </c>
      <c r="I146" s="17" t="s">
        <v>509</v>
      </c>
      <c r="J146" s="20">
        <v>29.22</v>
      </c>
      <c r="K146" s="58">
        <v>1062548</v>
      </c>
      <c r="L146" s="59"/>
      <c r="M146" s="59">
        <v>25.2</v>
      </c>
      <c r="N146" s="59">
        <v>3</v>
      </c>
      <c r="O146" s="60">
        <f t="shared" si="16"/>
        <v>75.599999999999994</v>
      </c>
      <c r="P146" s="59" t="s">
        <v>655</v>
      </c>
      <c r="Q146" s="59" t="s">
        <v>557</v>
      </c>
      <c r="R146" s="61"/>
      <c r="S146" s="61"/>
      <c r="T146" s="61"/>
      <c r="U146" s="61"/>
      <c r="V146" s="61"/>
      <c r="W146" s="62">
        <v>1.67</v>
      </c>
      <c r="X146" s="63">
        <v>128.59</v>
      </c>
      <c r="Y146" s="62" t="str">
        <f t="shared" si="18"/>
        <v>RECELL709</v>
      </c>
      <c r="Z146" s="62" t="str">
        <f t="shared" si="19"/>
        <v>7/INR18650-30Q</v>
      </c>
      <c r="AA146" s="63">
        <f t="shared" si="20"/>
        <v>1.67</v>
      </c>
      <c r="AB146" s="63">
        <f t="shared" si="22"/>
        <v>29.22</v>
      </c>
      <c r="AC146" s="62">
        <f t="shared" si="21"/>
        <v>128.59</v>
      </c>
      <c r="AD146" s="62" t="str">
        <f t="shared" si="17"/>
        <v>22000-999C</v>
      </c>
      <c r="AE146" s="64"/>
      <c r="AF146" s="65"/>
      <c r="AG146" s="20" t="s">
        <v>445</v>
      </c>
      <c r="AH146" s="29" t="s">
        <v>166</v>
      </c>
      <c r="AI146" s="30">
        <v>45637</v>
      </c>
    </row>
    <row r="147" spans="1:35" x14ac:dyDescent="0.25">
      <c r="A147" s="56">
        <v>45638</v>
      </c>
      <c r="B147" s="57" t="s">
        <v>723</v>
      </c>
      <c r="C147" s="17" t="s">
        <v>724</v>
      </c>
      <c r="D147" s="17" t="s">
        <v>311</v>
      </c>
      <c r="E147" s="16">
        <v>45688</v>
      </c>
      <c r="F147" s="17" t="s">
        <v>725</v>
      </c>
      <c r="G147" s="18" t="s">
        <v>312</v>
      </c>
      <c r="H147" s="19">
        <v>10</v>
      </c>
      <c r="I147" s="17" t="s">
        <v>313</v>
      </c>
      <c r="J147" s="20">
        <v>385.3</v>
      </c>
      <c r="K147" s="58">
        <v>1062474</v>
      </c>
      <c r="L147" s="59"/>
      <c r="M147" s="59">
        <v>19.5</v>
      </c>
      <c r="N147" s="59">
        <v>6.2</v>
      </c>
      <c r="O147" s="60">
        <f t="shared" ref="O147:O195" si="23">N147*M147</f>
        <v>120.9</v>
      </c>
      <c r="P147" s="59" t="s">
        <v>560</v>
      </c>
      <c r="Q147" s="59" t="s">
        <v>308</v>
      </c>
      <c r="R147" s="61"/>
      <c r="S147" s="61"/>
      <c r="T147" s="61"/>
      <c r="U147" s="61"/>
      <c r="V147" s="61"/>
      <c r="W147" s="62">
        <v>2.41</v>
      </c>
      <c r="X147" s="63">
        <v>610</v>
      </c>
      <c r="Y147" s="62" t="str">
        <f t="shared" si="18"/>
        <v>DH33</v>
      </c>
      <c r="Z147" s="62" t="str">
        <f t="shared" si="19"/>
        <v>5/3B5100-FF</v>
      </c>
      <c r="AA147" s="63">
        <f t="shared" si="20"/>
        <v>2.41</v>
      </c>
      <c r="AB147" s="63">
        <f t="shared" si="22"/>
        <v>385.3</v>
      </c>
      <c r="AC147" s="62">
        <f t="shared" si="21"/>
        <v>610</v>
      </c>
      <c r="AD147" s="62" t="str">
        <f t="shared" si="17"/>
        <v>66000-798</v>
      </c>
      <c r="AE147" s="64"/>
      <c r="AF147" s="65"/>
      <c r="AG147" s="20" t="s">
        <v>43</v>
      </c>
      <c r="AH147" s="29">
        <v>67008</v>
      </c>
      <c r="AI147" s="30">
        <v>45637</v>
      </c>
    </row>
    <row r="148" spans="1:35" x14ac:dyDescent="0.25">
      <c r="A148" s="56">
        <v>45638</v>
      </c>
      <c r="B148" s="57" t="s">
        <v>726</v>
      </c>
      <c r="C148" s="17" t="s">
        <v>727</v>
      </c>
      <c r="D148" s="17" t="s">
        <v>728</v>
      </c>
      <c r="E148" s="16">
        <v>45687</v>
      </c>
      <c r="F148" s="17" t="s">
        <v>729</v>
      </c>
      <c r="G148" s="18" t="s">
        <v>730</v>
      </c>
      <c r="H148" s="19">
        <v>20</v>
      </c>
      <c r="I148" s="17" t="s">
        <v>731</v>
      </c>
      <c r="J148" s="20">
        <v>25.58</v>
      </c>
      <c r="K148" s="58">
        <v>1062652</v>
      </c>
      <c r="L148" s="59"/>
      <c r="M148" s="59">
        <v>12</v>
      </c>
      <c r="N148" s="59">
        <v>1.9</v>
      </c>
      <c r="O148" s="60">
        <f t="shared" si="23"/>
        <v>22.799999999999997</v>
      </c>
      <c r="P148" s="59" t="s">
        <v>667</v>
      </c>
      <c r="Q148" s="59" t="s">
        <v>155</v>
      </c>
      <c r="R148" s="61"/>
      <c r="S148" s="61"/>
      <c r="T148" s="61"/>
      <c r="U148" s="61"/>
      <c r="V148" s="61"/>
      <c r="W148" s="62">
        <v>0.25</v>
      </c>
      <c r="X148" s="63">
        <v>75</v>
      </c>
      <c r="Y148" s="62" t="str">
        <f t="shared" si="18"/>
        <v>N393</v>
      </c>
      <c r="Z148" s="62" t="str">
        <f t="shared" si="19"/>
        <v>10/NC-1900SCR</v>
      </c>
      <c r="AA148" s="63">
        <f t="shared" si="20"/>
        <v>0.25</v>
      </c>
      <c r="AB148" s="63">
        <f t="shared" si="22"/>
        <v>25.58</v>
      </c>
      <c r="AC148" s="62">
        <f t="shared" si="21"/>
        <v>75</v>
      </c>
      <c r="AD148" s="62" t="str">
        <f t="shared" si="17"/>
        <v>66000-372</v>
      </c>
      <c r="AE148" s="64"/>
      <c r="AF148" s="65"/>
      <c r="AG148" s="20" t="s">
        <v>43</v>
      </c>
      <c r="AH148" s="29">
        <v>20171</v>
      </c>
      <c r="AI148" s="30">
        <v>45638</v>
      </c>
    </row>
    <row r="149" spans="1:35" x14ac:dyDescent="0.25">
      <c r="A149" s="56">
        <v>45638</v>
      </c>
      <c r="B149" s="57" t="s">
        <v>732</v>
      </c>
      <c r="C149" s="17" t="s">
        <v>733</v>
      </c>
      <c r="D149" s="17" t="s">
        <v>734</v>
      </c>
      <c r="E149" s="16">
        <v>45638</v>
      </c>
      <c r="F149" s="17" t="s">
        <v>735</v>
      </c>
      <c r="G149" s="18" t="s">
        <v>736</v>
      </c>
      <c r="H149" s="19">
        <v>1</v>
      </c>
      <c r="I149" s="17" t="s">
        <v>626</v>
      </c>
      <c r="J149" s="20">
        <v>39.090000000000003</v>
      </c>
      <c r="K149" s="58">
        <v>1062701</v>
      </c>
      <c r="L149" s="59"/>
      <c r="M149" s="59"/>
      <c r="N149" s="59"/>
      <c r="O149" s="60">
        <f t="shared" si="23"/>
        <v>0</v>
      </c>
      <c r="P149" s="59"/>
      <c r="Q149" s="59"/>
      <c r="R149" s="61"/>
      <c r="S149" s="61"/>
      <c r="T149" s="61"/>
      <c r="U149" s="61"/>
      <c r="V149" s="61"/>
      <c r="W149" s="62">
        <v>1.1000000000000001</v>
      </c>
      <c r="X149" s="63">
        <v>116.54</v>
      </c>
      <c r="Y149" s="62" t="str">
        <f t="shared" si="18"/>
        <v>CH584</v>
      </c>
      <c r="Z149" s="62" t="str">
        <f t="shared" si="19"/>
        <v>CH1-MH0707</v>
      </c>
      <c r="AA149" s="63">
        <f t="shared" si="20"/>
        <v>1.1000000000000001</v>
      </c>
      <c r="AB149" s="63">
        <f t="shared" si="22"/>
        <v>39.090000000000003</v>
      </c>
      <c r="AC149" s="62">
        <f t="shared" si="21"/>
        <v>116.54</v>
      </c>
      <c r="AD149" s="62" t="str">
        <f t="shared" si="17"/>
        <v>20006-473MH0707</v>
      </c>
      <c r="AE149" s="64"/>
      <c r="AF149" s="65"/>
      <c r="AG149" s="20" t="s">
        <v>108</v>
      </c>
      <c r="AH149" s="29" t="s">
        <v>737</v>
      </c>
      <c r="AI149" s="30">
        <v>45638</v>
      </c>
    </row>
    <row r="150" spans="1:35" x14ac:dyDescent="0.25">
      <c r="A150" s="71">
        <v>45642</v>
      </c>
      <c r="B150" s="37" t="s">
        <v>738</v>
      </c>
      <c r="C150" s="17" t="s">
        <v>739</v>
      </c>
      <c r="D150" s="17" t="s">
        <v>740</v>
      </c>
      <c r="E150" s="16">
        <v>45644</v>
      </c>
      <c r="F150" s="17" t="s">
        <v>741</v>
      </c>
      <c r="G150" s="18" t="s">
        <v>742</v>
      </c>
      <c r="H150" s="19">
        <v>10</v>
      </c>
      <c r="I150" s="17" t="s">
        <v>743</v>
      </c>
      <c r="J150" s="20">
        <v>23.52</v>
      </c>
      <c r="K150" s="58">
        <v>1061108</v>
      </c>
      <c r="L150" s="59"/>
      <c r="M150" s="59">
        <v>14.4</v>
      </c>
      <c r="N150" s="59">
        <v>5</v>
      </c>
      <c r="O150" s="60">
        <f t="shared" si="23"/>
        <v>72</v>
      </c>
      <c r="P150" s="59" t="s">
        <v>655</v>
      </c>
      <c r="Q150" s="59" t="s">
        <v>270</v>
      </c>
      <c r="R150" s="61"/>
      <c r="S150" s="61"/>
      <c r="T150" s="61"/>
      <c r="U150" s="61"/>
      <c r="V150" s="61"/>
      <c r="W150" s="62">
        <v>0.5</v>
      </c>
      <c r="X150" s="63">
        <v>135</v>
      </c>
      <c r="Y150" s="62" t="str">
        <f t="shared" si="18"/>
        <v>RL1902</v>
      </c>
      <c r="Z150" s="62" t="str">
        <f t="shared" si="19"/>
        <v>4/INR21700-50G</v>
      </c>
      <c r="AA150" s="63">
        <f t="shared" si="20"/>
        <v>0.5</v>
      </c>
      <c r="AB150" s="63">
        <f t="shared" si="22"/>
        <v>23.52</v>
      </c>
      <c r="AC150" s="62">
        <f t="shared" si="21"/>
        <v>135</v>
      </c>
      <c r="AD150" s="62" t="str">
        <f t="shared" si="17"/>
        <v>66003-354</v>
      </c>
      <c r="AE150" s="64"/>
      <c r="AF150" s="65"/>
      <c r="AG150" s="20" t="s">
        <v>59</v>
      </c>
      <c r="AH150" s="29">
        <v>67190</v>
      </c>
      <c r="AI150" s="30">
        <v>45638</v>
      </c>
    </row>
    <row r="151" spans="1:35" x14ac:dyDescent="0.25">
      <c r="A151" s="71">
        <v>45642</v>
      </c>
      <c r="B151" s="37" t="s">
        <v>744</v>
      </c>
      <c r="C151" s="17" t="s">
        <v>745</v>
      </c>
      <c r="D151" s="17" t="s">
        <v>746</v>
      </c>
      <c r="E151" s="16">
        <v>45677</v>
      </c>
      <c r="F151" s="17" t="s">
        <v>747</v>
      </c>
      <c r="G151" s="18" t="s">
        <v>748</v>
      </c>
      <c r="H151" s="19">
        <v>40</v>
      </c>
      <c r="I151" s="17" t="s">
        <v>749</v>
      </c>
      <c r="J151" s="20">
        <v>17.05</v>
      </c>
      <c r="K151" s="58">
        <v>1062756</v>
      </c>
      <c r="L151" s="59"/>
      <c r="M151" s="59">
        <v>24</v>
      </c>
      <c r="N151" s="59">
        <v>2.2999999999999998</v>
      </c>
      <c r="O151" s="60">
        <f t="shared" si="23"/>
        <v>55.199999999999996</v>
      </c>
      <c r="P151" s="59" t="s">
        <v>286</v>
      </c>
      <c r="Q151" s="59" t="s">
        <v>183</v>
      </c>
      <c r="R151" s="61"/>
      <c r="S151" s="61"/>
      <c r="T151" s="61"/>
      <c r="U151" s="61"/>
      <c r="V151" s="61"/>
      <c r="W151" s="62">
        <v>0.59</v>
      </c>
      <c r="X151" s="63">
        <v>42</v>
      </c>
      <c r="Y151" s="62" t="str">
        <f t="shared" si="18"/>
        <v>S129</v>
      </c>
      <c r="Z151" s="62" t="str">
        <f t="shared" si="19"/>
        <v>2/12SB2.3P</v>
      </c>
      <c r="AA151" s="63">
        <f t="shared" si="20"/>
        <v>0.59</v>
      </c>
      <c r="AB151" s="63">
        <f t="shared" si="22"/>
        <v>17.05</v>
      </c>
      <c r="AC151" s="62">
        <f t="shared" si="21"/>
        <v>42</v>
      </c>
      <c r="AD151" s="62" t="str">
        <f t="shared" si="17"/>
        <v>67001-883</v>
      </c>
      <c r="AE151" s="64"/>
      <c r="AF151" s="65"/>
      <c r="AG151" s="20" t="s">
        <v>43</v>
      </c>
      <c r="AH151" s="29">
        <v>2628</v>
      </c>
      <c r="AI151" s="30">
        <v>45638</v>
      </c>
    </row>
    <row r="152" spans="1:35" x14ac:dyDescent="0.25">
      <c r="A152" s="71">
        <v>45642</v>
      </c>
      <c r="B152" s="37" t="s">
        <v>750</v>
      </c>
      <c r="C152" s="17" t="s">
        <v>751</v>
      </c>
      <c r="D152" s="17" t="s">
        <v>752</v>
      </c>
      <c r="E152" s="16">
        <v>45677</v>
      </c>
      <c r="F152" s="17" t="s">
        <v>102</v>
      </c>
      <c r="G152" s="18" t="s">
        <v>753</v>
      </c>
      <c r="H152" s="19">
        <v>50</v>
      </c>
      <c r="I152" s="17" t="s">
        <v>754</v>
      </c>
      <c r="J152" s="20">
        <v>3.18</v>
      </c>
      <c r="K152" s="58">
        <v>1062870</v>
      </c>
      <c r="L152" s="59"/>
      <c r="M152" s="59">
        <v>3.6</v>
      </c>
      <c r="N152" s="59">
        <v>1.2</v>
      </c>
      <c r="O152" s="60">
        <f t="shared" si="23"/>
        <v>4.32</v>
      </c>
      <c r="P152" s="59" t="s">
        <v>529</v>
      </c>
      <c r="Q152" s="59" t="s">
        <v>42</v>
      </c>
      <c r="R152" s="61"/>
      <c r="S152" s="61"/>
      <c r="T152" s="61"/>
      <c r="U152" s="61"/>
      <c r="V152" s="61"/>
      <c r="W152" s="62">
        <v>0.04</v>
      </c>
      <c r="X152" s="63">
        <v>6.19</v>
      </c>
      <c r="Y152" s="62" t="str">
        <f t="shared" si="18"/>
        <v>L687</v>
      </c>
      <c r="Z152" s="62" t="str">
        <f t="shared" si="19"/>
        <v>1/2AA</v>
      </c>
      <c r="AA152" s="63">
        <f t="shared" si="20"/>
        <v>0.04</v>
      </c>
      <c r="AB152" s="63">
        <f t="shared" si="22"/>
        <v>3.18</v>
      </c>
      <c r="AC152" s="62">
        <f t="shared" si="21"/>
        <v>6.19</v>
      </c>
      <c r="AD152" s="62" t="str">
        <f t="shared" si="17"/>
        <v>33003-050CLG</v>
      </c>
      <c r="AE152" s="64"/>
      <c r="AF152" s="65"/>
      <c r="AG152" s="20" t="s">
        <v>108</v>
      </c>
      <c r="AH152" s="29">
        <v>24232</v>
      </c>
      <c r="AI152" s="30">
        <v>45638</v>
      </c>
    </row>
    <row r="153" spans="1:35" x14ac:dyDescent="0.25">
      <c r="A153" s="71">
        <v>45642</v>
      </c>
      <c r="B153" s="37" t="s">
        <v>755</v>
      </c>
      <c r="C153" s="17" t="s">
        <v>554</v>
      </c>
      <c r="D153" s="17" t="s">
        <v>555</v>
      </c>
      <c r="E153" s="16">
        <v>45681</v>
      </c>
      <c r="F153" s="17" t="s">
        <v>80</v>
      </c>
      <c r="G153" s="18" t="s">
        <v>556</v>
      </c>
      <c r="H153" s="19">
        <v>25</v>
      </c>
      <c r="I153" s="17" t="s">
        <v>88</v>
      </c>
      <c r="J153" s="20">
        <v>32.19</v>
      </c>
      <c r="K153" s="58">
        <v>1062884</v>
      </c>
      <c r="L153" s="59"/>
      <c r="M153" s="59">
        <v>8.4</v>
      </c>
      <c r="N153" s="59">
        <v>4.5</v>
      </c>
      <c r="O153" s="60">
        <f t="shared" si="23"/>
        <v>37.800000000000004</v>
      </c>
      <c r="P153" s="59" t="s">
        <v>154</v>
      </c>
      <c r="Q153" s="59" t="s">
        <v>557</v>
      </c>
      <c r="R153" s="61"/>
      <c r="S153" s="61"/>
      <c r="T153" s="61"/>
      <c r="U153" s="61"/>
      <c r="V153" s="61"/>
      <c r="W153" s="62">
        <v>0.78</v>
      </c>
      <c r="X153" s="63">
        <v>75</v>
      </c>
      <c r="Y153" s="62" t="str">
        <f t="shared" si="18"/>
        <v>N1387A</v>
      </c>
      <c r="Z153" s="62" t="str">
        <f t="shared" si="19"/>
        <v>7/MH-C4500HT</v>
      </c>
      <c r="AA153" s="63">
        <f t="shared" si="20"/>
        <v>0.78</v>
      </c>
      <c r="AB153" s="63">
        <f t="shared" si="22"/>
        <v>32.19</v>
      </c>
      <c r="AC153" s="62">
        <f t="shared" si="21"/>
        <v>75</v>
      </c>
      <c r="AD153" s="62" t="str">
        <f t="shared" si="17"/>
        <v>67001-425</v>
      </c>
      <c r="AE153" s="64"/>
      <c r="AF153" s="65"/>
      <c r="AG153" s="20" t="s">
        <v>43</v>
      </c>
      <c r="AH153" s="29">
        <v>65616</v>
      </c>
      <c r="AI153" s="30">
        <v>45639</v>
      </c>
    </row>
    <row r="154" spans="1:35" x14ac:dyDescent="0.25">
      <c r="A154" s="66">
        <v>45643</v>
      </c>
      <c r="B154" s="13" t="s">
        <v>756</v>
      </c>
      <c r="C154" s="17" t="s">
        <v>757</v>
      </c>
      <c r="D154" s="17" t="s">
        <v>758</v>
      </c>
      <c r="E154" s="16">
        <v>45642</v>
      </c>
      <c r="F154" s="17" t="s">
        <v>759</v>
      </c>
      <c r="G154" s="18" t="s">
        <v>760</v>
      </c>
      <c r="H154" s="19">
        <v>1</v>
      </c>
      <c r="I154" s="17" t="s">
        <v>320</v>
      </c>
      <c r="J154" s="20">
        <v>747.33</v>
      </c>
      <c r="K154" s="58">
        <v>1063063</v>
      </c>
      <c r="L154" s="59"/>
      <c r="M154" s="59">
        <v>25.2</v>
      </c>
      <c r="N154" s="59">
        <v>82.8</v>
      </c>
      <c r="O154" s="60">
        <f t="shared" si="23"/>
        <v>2086.56</v>
      </c>
      <c r="P154" s="59" t="s">
        <v>655</v>
      </c>
      <c r="Q154" s="59" t="s">
        <v>761</v>
      </c>
      <c r="R154" s="61"/>
      <c r="S154" s="61"/>
      <c r="T154" s="61"/>
      <c r="U154" s="61"/>
      <c r="V154" s="61"/>
      <c r="W154" s="62">
        <v>2</v>
      </c>
      <c r="X154" s="63">
        <v>3200</v>
      </c>
      <c r="Y154" s="62" t="str">
        <f t="shared" si="18"/>
        <v>RL1247A</v>
      </c>
      <c r="Z154" s="62" t="str">
        <f t="shared" si="19"/>
        <v>168/NCR18650GA</v>
      </c>
      <c r="AA154" s="63">
        <f t="shared" si="20"/>
        <v>2</v>
      </c>
      <c r="AB154" s="63">
        <f t="shared" si="22"/>
        <v>747.33</v>
      </c>
      <c r="AC154" s="62">
        <f t="shared" si="21"/>
        <v>3200</v>
      </c>
      <c r="AD154" s="62" t="str">
        <f t="shared" si="17"/>
        <v>67001-733A</v>
      </c>
      <c r="AE154" s="64"/>
      <c r="AF154" s="65"/>
      <c r="AG154" s="20" t="s">
        <v>59</v>
      </c>
      <c r="AH154" s="29">
        <v>2530</v>
      </c>
      <c r="AI154" s="30">
        <v>45642</v>
      </c>
    </row>
    <row r="155" spans="1:35" x14ac:dyDescent="0.25">
      <c r="A155" s="66">
        <v>45643</v>
      </c>
      <c r="B155" s="13" t="s">
        <v>762</v>
      </c>
      <c r="C155" s="17" t="s">
        <v>763</v>
      </c>
      <c r="D155" s="17" t="s">
        <v>764</v>
      </c>
      <c r="E155" s="16">
        <v>45684</v>
      </c>
      <c r="F155" s="17" t="s">
        <v>729</v>
      </c>
      <c r="G155" s="18" t="s">
        <v>765</v>
      </c>
      <c r="H155" s="19">
        <v>20</v>
      </c>
      <c r="I155" s="17" t="s">
        <v>766</v>
      </c>
      <c r="J155" s="20">
        <v>24.04</v>
      </c>
      <c r="K155" s="58">
        <v>1063082</v>
      </c>
      <c r="L155" s="59"/>
      <c r="M155" s="59">
        <v>7.2</v>
      </c>
      <c r="N155" s="59">
        <v>3</v>
      </c>
      <c r="O155" s="60">
        <f t="shared" si="23"/>
        <v>21.6</v>
      </c>
      <c r="P155" s="59" t="s">
        <v>667</v>
      </c>
      <c r="Q155" s="59" t="s">
        <v>90</v>
      </c>
      <c r="R155" s="61"/>
      <c r="S155" s="61"/>
      <c r="T155" s="61"/>
      <c r="U155" s="61"/>
      <c r="V155" s="61"/>
      <c r="W155" s="62">
        <v>0.27</v>
      </c>
      <c r="X155" s="63">
        <v>75.599999999999994</v>
      </c>
      <c r="Y155" s="62" t="str">
        <f t="shared" si="18"/>
        <v>N405</v>
      </c>
      <c r="Z155" s="62" t="str">
        <f t="shared" si="19"/>
        <v>6/N3000CR</v>
      </c>
      <c r="AA155" s="63">
        <f t="shared" si="20"/>
        <v>0.27</v>
      </c>
      <c r="AB155" s="63">
        <f t="shared" si="22"/>
        <v>24.04</v>
      </c>
      <c r="AC155" s="62">
        <f t="shared" si="21"/>
        <v>75.599999999999994</v>
      </c>
      <c r="AD155" s="62" t="str">
        <f t="shared" si="17"/>
        <v>30003-856AA</v>
      </c>
      <c r="AE155" s="64"/>
      <c r="AF155" s="65"/>
      <c r="AG155" s="20" t="s">
        <v>43</v>
      </c>
      <c r="AH155" s="29">
        <v>20171</v>
      </c>
      <c r="AI155" s="30">
        <v>45642</v>
      </c>
    </row>
    <row r="156" spans="1:35" x14ac:dyDescent="0.25">
      <c r="A156" s="56">
        <v>45645</v>
      </c>
      <c r="B156" s="57" t="s">
        <v>767</v>
      </c>
      <c r="C156" s="17" t="s">
        <v>622</v>
      </c>
      <c r="D156" s="17" t="s">
        <v>623</v>
      </c>
      <c r="E156" s="16">
        <v>45684</v>
      </c>
      <c r="F156" s="17" t="s">
        <v>768</v>
      </c>
      <c r="G156" s="18" t="s">
        <v>625</v>
      </c>
      <c r="H156" s="19">
        <v>1</v>
      </c>
      <c r="I156" s="17" t="s">
        <v>626</v>
      </c>
      <c r="J156" s="20">
        <v>36.68</v>
      </c>
      <c r="K156" s="58">
        <v>1063143</v>
      </c>
      <c r="L156" s="59"/>
      <c r="M156" s="59"/>
      <c r="N156" s="59"/>
      <c r="O156" s="60">
        <f t="shared" si="23"/>
        <v>0</v>
      </c>
      <c r="P156" s="59"/>
      <c r="Q156" s="59"/>
      <c r="R156" s="61"/>
      <c r="S156" s="61"/>
      <c r="T156" s="61"/>
      <c r="U156" s="61"/>
      <c r="V156" s="61"/>
      <c r="W156" s="62">
        <v>3.51</v>
      </c>
      <c r="X156" s="63">
        <v>116.54</v>
      </c>
      <c r="Y156" s="62" t="str">
        <f t="shared" si="18"/>
        <v>CH582</v>
      </c>
      <c r="Z156" s="62" t="str">
        <f t="shared" si="19"/>
        <v>CH1-MBM06</v>
      </c>
      <c r="AA156" s="63">
        <f t="shared" si="20"/>
        <v>3.51</v>
      </c>
      <c r="AB156" s="63">
        <f t="shared" si="22"/>
        <v>36.68</v>
      </c>
      <c r="AC156" s="62">
        <f t="shared" si="21"/>
        <v>116.54</v>
      </c>
      <c r="AD156" s="62" t="str">
        <f t="shared" si="17"/>
        <v>20006-473MBM06</v>
      </c>
      <c r="AE156" s="64"/>
      <c r="AF156" s="65"/>
      <c r="AG156" s="20" t="s">
        <v>108</v>
      </c>
      <c r="AH156" s="29">
        <v>25000</v>
      </c>
      <c r="AI156" s="30">
        <v>45643</v>
      </c>
    </row>
    <row r="157" spans="1:35" x14ac:dyDescent="0.25">
      <c r="A157" s="56">
        <v>45645</v>
      </c>
      <c r="B157" s="57" t="s">
        <v>769</v>
      </c>
      <c r="C157" s="17" t="s">
        <v>770</v>
      </c>
      <c r="D157" s="17" t="s">
        <v>771</v>
      </c>
      <c r="E157" s="16">
        <v>45684</v>
      </c>
      <c r="F157" s="17" t="s">
        <v>102</v>
      </c>
      <c r="G157" s="18" t="s">
        <v>772</v>
      </c>
      <c r="H157" s="19">
        <v>11</v>
      </c>
      <c r="I157" s="17" t="s">
        <v>773</v>
      </c>
      <c r="J157" s="20">
        <v>11.28</v>
      </c>
      <c r="K157" s="58">
        <v>1063190</v>
      </c>
      <c r="L157" s="59"/>
      <c r="M157" s="59">
        <v>4.8</v>
      </c>
      <c r="N157" s="59">
        <v>4</v>
      </c>
      <c r="O157" s="60">
        <f t="shared" si="23"/>
        <v>19.2</v>
      </c>
      <c r="P157" s="59" t="s">
        <v>667</v>
      </c>
      <c r="Q157" s="59" t="s">
        <v>270</v>
      </c>
      <c r="R157" s="61"/>
      <c r="S157" s="61"/>
      <c r="T157" s="61"/>
      <c r="U157" s="61"/>
      <c r="V157" s="61"/>
      <c r="W157" s="62">
        <v>0.25</v>
      </c>
      <c r="X157" s="63">
        <v>26.16</v>
      </c>
      <c r="Y157" s="62" t="str">
        <f t="shared" si="18"/>
        <v>N574</v>
      </c>
      <c r="Z157" s="62" t="str">
        <f t="shared" si="19"/>
        <v>4/ITL4000D</v>
      </c>
      <c r="AA157" s="63">
        <f t="shared" si="20"/>
        <v>0.25</v>
      </c>
      <c r="AB157" s="63">
        <f t="shared" si="22"/>
        <v>11.28</v>
      </c>
      <c r="AC157" s="62">
        <f t="shared" si="21"/>
        <v>26.16</v>
      </c>
      <c r="AD157" s="62" t="str">
        <f t="shared" si="17"/>
        <v>30004-354CLMSPD</v>
      </c>
      <c r="AE157" s="64"/>
      <c r="AF157" s="65"/>
      <c r="AG157" s="20" t="s">
        <v>108</v>
      </c>
      <c r="AH157" s="29">
        <v>24232</v>
      </c>
      <c r="AI157" s="30">
        <v>45643</v>
      </c>
    </row>
    <row r="158" spans="1:35" x14ac:dyDescent="0.25">
      <c r="A158" s="56">
        <v>45645</v>
      </c>
      <c r="B158" s="57" t="s">
        <v>774</v>
      </c>
      <c r="C158" s="17" t="s">
        <v>775</v>
      </c>
      <c r="D158" s="17" t="s">
        <v>776</v>
      </c>
      <c r="E158" s="16">
        <v>45685</v>
      </c>
      <c r="F158" s="17" t="s">
        <v>395</v>
      </c>
      <c r="G158" s="18" t="s">
        <v>777</v>
      </c>
      <c r="H158" s="19">
        <v>1</v>
      </c>
      <c r="I158" s="17" t="s">
        <v>213</v>
      </c>
      <c r="J158" s="20">
        <v>66.36</v>
      </c>
      <c r="K158" s="58">
        <v>1063215</v>
      </c>
      <c r="L158" s="59"/>
      <c r="M158" s="59"/>
      <c r="N158" s="59"/>
      <c r="O158" s="60">
        <f t="shared" si="23"/>
        <v>0</v>
      </c>
      <c r="P158" s="59"/>
      <c r="Q158" s="59"/>
      <c r="R158" s="61"/>
      <c r="S158" s="61"/>
      <c r="T158" s="61"/>
      <c r="U158" s="61"/>
      <c r="V158" s="61"/>
      <c r="W158" s="62">
        <v>0.25</v>
      </c>
      <c r="X158" s="63">
        <v>275</v>
      </c>
      <c r="Y158" s="62" t="str">
        <f t="shared" si="18"/>
        <v>CH664</v>
      </c>
      <c r="Z158" s="62" t="str">
        <f t="shared" si="19"/>
        <v>1/TSB-003APCB</v>
      </c>
      <c r="AA158" s="63">
        <f t="shared" si="20"/>
        <v>0.25</v>
      </c>
      <c r="AB158" s="63">
        <f t="shared" si="22"/>
        <v>66.36</v>
      </c>
      <c r="AC158" s="62">
        <f t="shared" si="21"/>
        <v>275</v>
      </c>
      <c r="AD158" s="62" t="str">
        <f t="shared" si="17"/>
        <v>66003-687</v>
      </c>
      <c r="AE158" s="64"/>
      <c r="AF158" s="65"/>
      <c r="AG158" s="20" t="s">
        <v>71</v>
      </c>
      <c r="AH158" s="29" t="s">
        <v>778</v>
      </c>
      <c r="AI158" s="30">
        <v>45643</v>
      </c>
    </row>
    <row r="159" spans="1:35" x14ac:dyDescent="0.25">
      <c r="A159" s="56">
        <v>45645</v>
      </c>
      <c r="B159" s="57" t="s">
        <v>779</v>
      </c>
      <c r="C159" s="17" t="s">
        <v>780</v>
      </c>
      <c r="D159" s="17" t="s">
        <v>781</v>
      </c>
      <c r="E159" s="16">
        <v>45688</v>
      </c>
      <c r="F159" s="17" t="s">
        <v>782</v>
      </c>
      <c r="G159" s="18" t="s">
        <v>783</v>
      </c>
      <c r="H159" s="19">
        <v>25</v>
      </c>
      <c r="I159" s="17" t="s">
        <v>213</v>
      </c>
      <c r="J159" s="20">
        <v>38.130000000000003</v>
      </c>
      <c r="K159" s="58">
        <v>1063364</v>
      </c>
      <c r="L159" s="59"/>
      <c r="M159" s="59"/>
      <c r="N159" s="59"/>
      <c r="O159" s="60">
        <f t="shared" si="23"/>
        <v>0</v>
      </c>
      <c r="P159" s="59"/>
      <c r="Q159" s="59"/>
      <c r="R159" s="61"/>
      <c r="S159" s="61"/>
      <c r="T159" s="61"/>
      <c r="U159" s="61"/>
      <c r="V159" s="61"/>
      <c r="W159" s="62">
        <v>0.06</v>
      </c>
      <c r="X159" s="63">
        <v>59</v>
      </c>
      <c r="Y159" s="62" t="str">
        <f t="shared" si="18"/>
        <v>CH552</v>
      </c>
      <c r="Z159" s="62" t="str">
        <f t="shared" si="19"/>
        <v>1/TSB-003PCB</v>
      </c>
      <c r="AA159" s="63">
        <f t="shared" si="20"/>
        <v>0.06</v>
      </c>
      <c r="AB159" s="63">
        <f t="shared" si="22"/>
        <v>38.130000000000003</v>
      </c>
      <c r="AC159" s="62">
        <f t="shared" si="21"/>
        <v>59</v>
      </c>
      <c r="AD159" s="62" t="str">
        <f t="shared" si="17"/>
        <v>66002-743</v>
      </c>
      <c r="AE159" s="64"/>
      <c r="AF159" s="65"/>
      <c r="AG159" s="20" t="s">
        <v>43</v>
      </c>
      <c r="AH159" s="29" t="s">
        <v>784</v>
      </c>
      <c r="AI159" s="30">
        <v>45644</v>
      </c>
    </row>
    <row r="160" spans="1:35" x14ac:dyDescent="0.25">
      <c r="A160" s="56">
        <v>45645</v>
      </c>
      <c r="B160" s="57" t="s">
        <v>785</v>
      </c>
      <c r="C160" s="17" t="s">
        <v>786</v>
      </c>
      <c r="D160" s="17" t="s">
        <v>787</v>
      </c>
      <c r="E160" s="16">
        <v>45686</v>
      </c>
      <c r="F160" s="17" t="s">
        <v>788</v>
      </c>
      <c r="G160" s="18" t="s">
        <v>789</v>
      </c>
      <c r="H160" s="19">
        <v>6</v>
      </c>
      <c r="I160" s="17" t="s">
        <v>224</v>
      </c>
      <c r="J160" s="20">
        <v>5.47</v>
      </c>
      <c r="K160" s="58">
        <v>1063398</v>
      </c>
      <c r="L160" s="59"/>
      <c r="M160" s="59">
        <v>13.5</v>
      </c>
      <c r="N160" s="59"/>
      <c r="O160" s="60">
        <f t="shared" si="23"/>
        <v>0</v>
      </c>
      <c r="P160" s="59" t="s">
        <v>790</v>
      </c>
      <c r="Q160" s="59" t="s">
        <v>791</v>
      </c>
      <c r="R160" s="61"/>
      <c r="S160" s="61"/>
      <c r="T160" s="61"/>
      <c r="U160" s="61"/>
      <c r="V160" s="61"/>
      <c r="W160" s="62">
        <v>0.86</v>
      </c>
      <c r="X160" s="63">
        <v>67</v>
      </c>
      <c r="Y160" s="62" t="str">
        <f t="shared" si="18"/>
        <v>AL97</v>
      </c>
      <c r="Z160" s="62" t="str">
        <f t="shared" si="19"/>
        <v>18/LR6XW</v>
      </c>
      <c r="AA160" s="63">
        <f t="shared" si="20"/>
        <v>0.86</v>
      </c>
      <c r="AB160" s="63">
        <f t="shared" si="22"/>
        <v>5.47</v>
      </c>
      <c r="AC160" s="62">
        <f t="shared" si="21"/>
        <v>67</v>
      </c>
      <c r="AD160" s="62" t="str">
        <f t="shared" si="17"/>
        <v>66000-313</v>
      </c>
      <c r="AE160" s="64"/>
      <c r="AF160" s="65"/>
      <c r="AG160" s="20" t="s">
        <v>704</v>
      </c>
      <c r="AH160" s="29">
        <v>2673</v>
      </c>
      <c r="AI160" s="30">
        <v>45644</v>
      </c>
    </row>
    <row r="161" spans="1:35" x14ac:dyDescent="0.25">
      <c r="A161" s="56">
        <v>45645</v>
      </c>
      <c r="B161" s="57" t="s">
        <v>792</v>
      </c>
      <c r="C161" s="17" t="s">
        <v>793</v>
      </c>
      <c r="D161" s="17" t="s">
        <v>794</v>
      </c>
      <c r="E161" s="16">
        <v>45674</v>
      </c>
      <c r="F161" s="17" t="s">
        <v>795</v>
      </c>
      <c r="G161" s="18" t="s">
        <v>796</v>
      </c>
      <c r="H161" s="19">
        <v>5</v>
      </c>
      <c r="I161" s="17" t="s">
        <v>797</v>
      </c>
      <c r="J161" s="20">
        <v>78.7</v>
      </c>
      <c r="K161" s="58">
        <v>1063449</v>
      </c>
      <c r="L161" s="59"/>
      <c r="M161" s="59">
        <v>12.8</v>
      </c>
      <c r="N161" s="59">
        <v>16.5</v>
      </c>
      <c r="O161" s="60">
        <f t="shared" si="23"/>
        <v>211.20000000000002</v>
      </c>
      <c r="P161" s="59" t="s">
        <v>182</v>
      </c>
      <c r="Q161" s="59" t="s">
        <v>798</v>
      </c>
      <c r="R161" s="61"/>
      <c r="S161" s="61"/>
      <c r="T161" s="61"/>
      <c r="U161" s="61"/>
      <c r="V161" s="61"/>
      <c r="W161" s="62">
        <v>1</v>
      </c>
      <c r="X161" s="63">
        <v>300</v>
      </c>
      <c r="Y161" s="62" t="str">
        <f t="shared" si="18"/>
        <v>RL1597A</v>
      </c>
      <c r="Z161" s="62" t="str">
        <f t="shared" si="19"/>
        <v>20/IFR26650-33A</v>
      </c>
      <c r="AA161" s="63">
        <f t="shared" si="20"/>
        <v>1</v>
      </c>
      <c r="AB161" s="63">
        <f t="shared" si="22"/>
        <v>78.7</v>
      </c>
      <c r="AC161" s="62">
        <f t="shared" si="21"/>
        <v>300</v>
      </c>
      <c r="AD161" s="62" t="str">
        <f t="shared" si="17"/>
        <v>66002-909A</v>
      </c>
      <c r="AE161" s="64"/>
      <c r="AF161" s="65"/>
      <c r="AG161" s="20" t="s">
        <v>59</v>
      </c>
      <c r="AH161" s="29" t="s">
        <v>799</v>
      </c>
      <c r="AI161" s="30">
        <v>45627</v>
      </c>
    </row>
    <row r="162" spans="1:35" x14ac:dyDescent="0.25">
      <c r="A162" s="56">
        <v>45645</v>
      </c>
      <c r="B162" s="57" t="s">
        <v>800</v>
      </c>
      <c r="C162" s="17" t="s">
        <v>801</v>
      </c>
      <c r="D162" s="17" t="s">
        <v>802</v>
      </c>
      <c r="E162" s="16">
        <v>45680</v>
      </c>
      <c r="F162" s="17" t="s">
        <v>803</v>
      </c>
      <c r="G162" s="18" t="s">
        <v>804</v>
      </c>
      <c r="H162" s="19">
        <v>3</v>
      </c>
      <c r="I162" s="17" t="s">
        <v>805</v>
      </c>
      <c r="J162" s="20">
        <v>87.72</v>
      </c>
      <c r="K162" s="58">
        <v>1063517</v>
      </c>
      <c r="L162" s="59"/>
      <c r="M162" s="59">
        <v>24</v>
      </c>
      <c r="N162" s="59">
        <v>3</v>
      </c>
      <c r="O162" s="60">
        <f t="shared" si="23"/>
        <v>72</v>
      </c>
      <c r="P162" s="59" t="s">
        <v>154</v>
      </c>
      <c r="Q162" s="59" t="s">
        <v>376</v>
      </c>
      <c r="R162" s="61"/>
      <c r="S162" s="61"/>
      <c r="T162" s="61"/>
      <c r="U162" s="61"/>
      <c r="V162" s="61"/>
      <c r="W162" s="62">
        <v>1.46</v>
      </c>
      <c r="X162" s="63">
        <v>200</v>
      </c>
      <c r="Y162" s="62" t="str">
        <f t="shared" si="18"/>
        <v>RECELL554</v>
      </c>
      <c r="Z162" s="62" t="str">
        <f t="shared" si="19"/>
        <v>20/HHR-300SCPY06</v>
      </c>
      <c r="AA162" s="63">
        <f t="shared" si="20"/>
        <v>1.46</v>
      </c>
      <c r="AB162" s="63">
        <f t="shared" si="22"/>
        <v>87.72</v>
      </c>
      <c r="AC162" s="62">
        <f t="shared" si="21"/>
        <v>200</v>
      </c>
      <c r="AD162" s="62" t="str">
        <f t="shared" si="17"/>
        <v>66002-203</v>
      </c>
      <c r="AE162" s="64"/>
      <c r="AF162" s="65"/>
      <c r="AG162" s="20" t="s">
        <v>445</v>
      </c>
      <c r="AH162" s="29">
        <v>6830</v>
      </c>
      <c r="AI162" s="30">
        <v>45645</v>
      </c>
    </row>
    <row r="163" spans="1:35" x14ac:dyDescent="0.25">
      <c r="A163" s="56">
        <v>45645</v>
      </c>
      <c r="B163" s="57" t="s">
        <v>806</v>
      </c>
      <c r="C163" s="17" t="s">
        <v>807</v>
      </c>
      <c r="D163" s="17" t="s">
        <v>808</v>
      </c>
      <c r="E163" s="16">
        <v>45687</v>
      </c>
      <c r="F163" s="17" t="s">
        <v>803</v>
      </c>
      <c r="G163" s="18" t="s">
        <v>809</v>
      </c>
      <c r="H163" s="19">
        <v>4</v>
      </c>
      <c r="I163" s="17" t="s">
        <v>534</v>
      </c>
      <c r="J163" s="20">
        <v>8.2899999999999991</v>
      </c>
      <c r="K163" s="58">
        <v>1063544</v>
      </c>
      <c r="L163" s="59"/>
      <c r="M163" s="59">
        <v>3.6</v>
      </c>
      <c r="N163" s="59">
        <v>2.5499999999999998</v>
      </c>
      <c r="O163" s="60">
        <f t="shared" si="23"/>
        <v>9.18</v>
      </c>
      <c r="P163" s="59" t="s">
        <v>154</v>
      </c>
      <c r="Q163" s="59" t="s">
        <v>98</v>
      </c>
      <c r="R163" s="61"/>
      <c r="S163" s="61"/>
      <c r="T163" s="61"/>
      <c r="U163" s="61"/>
      <c r="V163" s="61"/>
      <c r="W163" s="62">
        <v>0.63</v>
      </c>
      <c r="X163" s="63">
        <v>40</v>
      </c>
      <c r="Y163" s="62" t="str">
        <f t="shared" si="18"/>
        <v>N1876</v>
      </c>
      <c r="Z163" s="62" t="str">
        <f t="shared" si="19"/>
        <v>3/HR-3UTHC</v>
      </c>
      <c r="AA163" s="63">
        <f t="shared" si="20"/>
        <v>0.63</v>
      </c>
      <c r="AB163" s="63">
        <f t="shared" si="22"/>
        <v>8.2899999999999991</v>
      </c>
      <c r="AC163" s="62">
        <f t="shared" si="21"/>
        <v>40</v>
      </c>
      <c r="AD163" s="62" t="str">
        <f t="shared" si="17"/>
        <v>66002-147</v>
      </c>
      <c r="AE163" s="64"/>
      <c r="AF163" s="65"/>
      <c r="AG163" s="20" t="s">
        <v>59</v>
      </c>
      <c r="AH163" s="29">
        <v>6830</v>
      </c>
      <c r="AI163" s="30">
        <v>45645</v>
      </c>
    </row>
    <row r="164" spans="1:35" x14ac:dyDescent="0.25">
      <c r="A164" s="56">
        <v>45645</v>
      </c>
      <c r="B164" s="83" t="s">
        <v>810</v>
      </c>
      <c r="C164" s="41" t="s">
        <v>811</v>
      </c>
      <c r="D164" s="41" t="s">
        <v>812</v>
      </c>
      <c r="E164" s="42">
        <v>45687</v>
      </c>
      <c r="F164" s="41" t="s">
        <v>813</v>
      </c>
      <c r="G164" s="43" t="s">
        <v>814</v>
      </c>
      <c r="H164" s="44">
        <v>2</v>
      </c>
      <c r="I164" s="41" t="s">
        <v>815</v>
      </c>
      <c r="J164" s="45">
        <v>141.81</v>
      </c>
      <c r="K164" s="58">
        <v>1063593</v>
      </c>
      <c r="L164" s="59"/>
      <c r="M164" s="59">
        <v>25.2</v>
      </c>
      <c r="N164" s="59">
        <v>12.75</v>
      </c>
      <c r="O164" s="60">
        <f t="shared" si="23"/>
        <v>321.3</v>
      </c>
      <c r="P164" s="59" t="s">
        <v>655</v>
      </c>
      <c r="Q164" s="59" t="s">
        <v>256</v>
      </c>
      <c r="R164" s="61"/>
      <c r="S164" s="61"/>
      <c r="T164" s="61"/>
      <c r="U164" s="61"/>
      <c r="V164" s="61"/>
      <c r="W164" s="62">
        <v>2</v>
      </c>
      <c r="X164" s="63">
        <v>630</v>
      </c>
      <c r="Y164" s="62" t="str">
        <f t="shared" si="18"/>
        <v>RL1142A</v>
      </c>
      <c r="Z164" s="62" t="str">
        <f t="shared" si="19"/>
        <v>21/NCR20700B</v>
      </c>
      <c r="AA164" s="63">
        <f t="shared" si="20"/>
        <v>2</v>
      </c>
      <c r="AB164" s="63">
        <f t="shared" si="22"/>
        <v>141.81</v>
      </c>
      <c r="AC164" s="62">
        <f t="shared" si="21"/>
        <v>630</v>
      </c>
      <c r="AD164" s="62" t="str">
        <f t="shared" si="17"/>
        <v>66001-5360</v>
      </c>
      <c r="AE164" s="64"/>
      <c r="AF164" s="65"/>
      <c r="AG164" s="20" t="s">
        <v>71</v>
      </c>
      <c r="AH164" s="29">
        <v>67184</v>
      </c>
      <c r="AI164" s="30">
        <v>45645</v>
      </c>
    </row>
    <row r="165" spans="1:35" x14ac:dyDescent="0.25">
      <c r="A165" s="84">
        <v>45646</v>
      </c>
      <c r="B165" s="73" t="s">
        <v>816</v>
      </c>
      <c r="C165" s="17" t="s">
        <v>817</v>
      </c>
      <c r="D165" s="17" t="s">
        <v>818</v>
      </c>
      <c r="E165" s="16">
        <v>45687</v>
      </c>
      <c r="F165" s="17" t="s">
        <v>819</v>
      </c>
      <c r="G165" s="18" t="s">
        <v>820</v>
      </c>
      <c r="H165" s="19">
        <v>20</v>
      </c>
      <c r="I165" s="17" t="s">
        <v>821</v>
      </c>
      <c r="J165" s="20">
        <v>25.14</v>
      </c>
      <c r="K165" s="85">
        <v>1063603</v>
      </c>
      <c r="L165" s="59"/>
      <c r="M165" s="59">
        <v>36</v>
      </c>
      <c r="N165" s="59">
        <v>0.8</v>
      </c>
      <c r="O165" s="60">
        <f t="shared" si="23"/>
        <v>28.8</v>
      </c>
      <c r="P165" s="59" t="s">
        <v>286</v>
      </c>
      <c r="Q165" s="59" t="s">
        <v>98</v>
      </c>
      <c r="R165" s="61"/>
      <c r="S165" s="61"/>
      <c r="T165" s="61"/>
      <c r="U165" s="61"/>
      <c r="V165" s="61"/>
      <c r="W165" s="62">
        <v>1.83</v>
      </c>
      <c r="X165" s="63">
        <v>80</v>
      </c>
      <c r="Y165" s="62" t="str">
        <f t="shared" si="18"/>
        <v>S112</v>
      </c>
      <c r="Z165" s="62" t="str">
        <f t="shared" si="19"/>
        <v>3/12SB0.8P</v>
      </c>
      <c r="AA165" s="63">
        <f t="shared" si="20"/>
        <v>1.83</v>
      </c>
      <c r="AB165" s="63">
        <f t="shared" si="22"/>
        <v>25.14</v>
      </c>
      <c r="AC165" s="62">
        <f t="shared" si="21"/>
        <v>80</v>
      </c>
      <c r="AD165" s="62" t="str">
        <f t="shared" si="17"/>
        <v>60000-930CRE</v>
      </c>
      <c r="AE165" s="64"/>
      <c r="AF165" s="65"/>
      <c r="AG165" s="20" t="s">
        <v>59</v>
      </c>
      <c r="AH165" s="29">
        <v>29512</v>
      </c>
      <c r="AI165" s="30">
        <v>45645</v>
      </c>
    </row>
    <row r="166" spans="1:35" x14ac:dyDescent="0.25">
      <c r="A166" s="72">
        <v>45646</v>
      </c>
      <c r="B166" s="73" t="s">
        <v>822</v>
      </c>
      <c r="C166" s="17" t="s">
        <v>281</v>
      </c>
      <c r="D166" s="17" t="s">
        <v>282</v>
      </c>
      <c r="E166" s="16">
        <v>45695</v>
      </c>
      <c r="F166" s="17" t="s">
        <v>823</v>
      </c>
      <c r="G166" s="18" t="s">
        <v>284</v>
      </c>
      <c r="H166" s="19">
        <v>20</v>
      </c>
      <c r="I166" s="17" t="s">
        <v>285</v>
      </c>
      <c r="J166" s="20">
        <v>83.18</v>
      </c>
      <c r="K166" s="58">
        <v>1063624</v>
      </c>
      <c r="L166" s="59"/>
      <c r="M166" s="59" t="s">
        <v>824</v>
      </c>
      <c r="N166" s="59"/>
      <c r="O166" s="60"/>
      <c r="P166" s="59" t="s">
        <v>286</v>
      </c>
      <c r="Q166" s="59" t="s">
        <v>825</v>
      </c>
      <c r="R166" s="61"/>
      <c r="S166" s="61"/>
      <c r="T166" s="61"/>
      <c r="U166" s="61"/>
      <c r="V166" s="61"/>
      <c r="W166" s="62">
        <v>1.97</v>
      </c>
      <c r="X166" s="63">
        <v>245</v>
      </c>
      <c r="Y166" s="62" t="str">
        <f t="shared" si="18"/>
        <v>S124</v>
      </c>
      <c r="Z166" s="62" t="str">
        <f t="shared" si="19"/>
        <v>6/12SB25WHR</v>
      </c>
      <c r="AA166" s="63">
        <f t="shared" si="20"/>
        <v>1.97</v>
      </c>
      <c r="AB166" s="63">
        <f t="shared" si="22"/>
        <v>83.18</v>
      </c>
      <c r="AC166" s="62">
        <f t="shared" si="21"/>
        <v>245</v>
      </c>
      <c r="AD166" s="62" t="str">
        <f t="shared" si="17"/>
        <v>66002-950</v>
      </c>
      <c r="AE166" s="64"/>
      <c r="AF166" s="65"/>
      <c r="AG166" s="20" t="s">
        <v>71</v>
      </c>
      <c r="AH166" s="29">
        <v>2420</v>
      </c>
      <c r="AI166" s="30">
        <v>45645</v>
      </c>
    </row>
    <row r="167" spans="1:35" x14ac:dyDescent="0.25">
      <c r="A167" s="71">
        <v>45663</v>
      </c>
      <c r="B167" s="37" t="s">
        <v>826</v>
      </c>
      <c r="C167" s="17" t="s">
        <v>442</v>
      </c>
      <c r="D167" s="17" t="s">
        <v>443</v>
      </c>
      <c r="E167" s="16">
        <v>45677</v>
      </c>
      <c r="F167" s="17" t="s">
        <v>261</v>
      </c>
      <c r="G167" s="18" t="s">
        <v>444</v>
      </c>
      <c r="H167" s="19">
        <v>1</v>
      </c>
      <c r="I167" s="17" t="s">
        <v>293</v>
      </c>
      <c r="J167" s="20">
        <v>9.49</v>
      </c>
      <c r="K167" s="58">
        <v>1063669</v>
      </c>
      <c r="L167" s="59"/>
      <c r="M167" s="59">
        <v>3.7</v>
      </c>
      <c r="N167" s="59">
        <v>2.2999999999999998</v>
      </c>
      <c r="O167" s="60">
        <f t="shared" si="23"/>
        <v>8.51</v>
      </c>
      <c r="P167" s="59" t="s">
        <v>655</v>
      </c>
      <c r="Q167" s="59" t="s">
        <v>131</v>
      </c>
      <c r="R167" s="61"/>
      <c r="S167" s="61"/>
      <c r="T167" s="61"/>
      <c r="U167" s="61"/>
      <c r="V167" s="61"/>
      <c r="W167" s="62">
        <v>1.69</v>
      </c>
      <c r="X167" s="63">
        <v>72.239999999999995</v>
      </c>
      <c r="Y167" s="62" t="str">
        <f t="shared" si="18"/>
        <v>RECELL543</v>
      </c>
      <c r="Z167" s="62" t="str">
        <f t="shared" si="19"/>
        <v>2/UF553450Z</v>
      </c>
      <c r="AA167" s="63">
        <f t="shared" si="20"/>
        <v>1.69</v>
      </c>
      <c r="AB167" s="63">
        <f t="shared" si="22"/>
        <v>9.49</v>
      </c>
      <c r="AC167" s="62">
        <f t="shared" si="21"/>
        <v>72.239999999999995</v>
      </c>
      <c r="AD167" s="62" t="str">
        <f t="shared" si="17"/>
        <v>22000-528K</v>
      </c>
      <c r="AE167" s="64"/>
      <c r="AF167" s="65"/>
      <c r="AG167" s="20" t="s">
        <v>445</v>
      </c>
      <c r="AH167" s="29">
        <v>23891</v>
      </c>
      <c r="AI167" s="30">
        <v>45646</v>
      </c>
    </row>
    <row r="168" spans="1:35" x14ac:dyDescent="0.25">
      <c r="A168" s="71">
        <v>45663</v>
      </c>
      <c r="B168" s="37" t="s">
        <v>827</v>
      </c>
      <c r="C168" s="17" t="s">
        <v>828</v>
      </c>
      <c r="D168" s="17" t="s">
        <v>829</v>
      </c>
      <c r="E168" s="16">
        <v>45687</v>
      </c>
      <c r="F168" s="17" t="s">
        <v>830</v>
      </c>
      <c r="G168" s="18" t="s">
        <v>831</v>
      </c>
      <c r="H168" s="19">
        <v>2</v>
      </c>
      <c r="I168" s="17" t="s">
        <v>832</v>
      </c>
      <c r="J168" s="20">
        <v>6.79</v>
      </c>
      <c r="K168" s="58">
        <v>1063675</v>
      </c>
      <c r="L168" s="59"/>
      <c r="M168" s="59">
        <v>4.8</v>
      </c>
      <c r="N168" s="59">
        <v>1.5</v>
      </c>
      <c r="O168" s="60">
        <f t="shared" si="23"/>
        <v>7.1999999999999993</v>
      </c>
      <c r="P168" s="59" t="s">
        <v>154</v>
      </c>
      <c r="Q168" s="59" t="s">
        <v>270</v>
      </c>
      <c r="R168" s="61"/>
      <c r="S168" s="61"/>
      <c r="T168" s="61"/>
      <c r="U168" s="61"/>
      <c r="V168" s="61"/>
      <c r="W168" s="62">
        <v>0.5</v>
      </c>
      <c r="X168" s="63">
        <v>20.239999999999998</v>
      </c>
      <c r="Y168" s="62" t="str">
        <f t="shared" si="18"/>
        <v>N1422</v>
      </c>
      <c r="Z168" s="62" t="str">
        <f t="shared" si="19"/>
        <v>4/MH-AA1500HT</v>
      </c>
      <c r="AA168" s="63">
        <f t="shared" si="20"/>
        <v>0.5</v>
      </c>
      <c r="AB168" s="63">
        <f t="shared" si="22"/>
        <v>6.79</v>
      </c>
      <c r="AC168" s="62">
        <f t="shared" si="21"/>
        <v>20.239999999999998</v>
      </c>
      <c r="AD168" s="62" t="str">
        <f t="shared" si="17"/>
        <v>59001-404EKT</v>
      </c>
      <c r="AE168" s="64"/>
      <c r="AF168" s="65"/>
      <c r="AG168" s="20" t="s">
        <v>71</v>
      </c>
      <c r="AH168" s="29" t="s">
        <v>833</v>
      </c>
      <c r="AI168" s="30">
        <v>45646</v>
      </c>
    </row>
    <row r="169" spans="1:35" x14ac:dyDescent="0.25">
      <c r="A169" s="62"/>
      <c r="B169" s="17"/>
      <c r="C169" s="31"/>
      <c r="D169" s="17"/>
      <c r="E169" s="30"/>
      <c r="F169" s="17"/>
      <c r="G169" s="18"/>
      <c r="H169" s="19"/>
      <c r="I169" s="17"/>
      <c r="J169" s="20"/>
      <c r="K169" s="58"/>
      <c r="L169" s="59"/>
      <c r="M169" s="59"/>
      <c r="N169" s="59"/>
      <c r="O169" s="60">
        <f t="shared" si="23"/>
        <v>0</v>
      </c>
      <c r="P169" s="59"/>
      <c r="Q169" s="59"/>
      <c r="R169" s="61"/>
      <c r="S169" s="61"/>
      <c r="T169" s="61"/>
      <c r="U169" s="61"/>
      <c r="V169" s="61"/>
      <c r="W169" s="62"/>
      <c r="X169" s="63"/>
      <c r="Y169" s="62">
        <f t="shared" si="18"/>
        <v>0</v>
      </c>
      <c r="Z169" s="62">
        <f t="shared" si="19"/>
        <v>0</v>
      </c>
      <c r="AA169" s="63">
        <f t="shared" si="20"/>
        <v>0</v>
      </c>
      <c r="AB169" s="63">
        <f t="shared" si="22"/>
        <v>0</v>
      </c>
      <c r="AC169" s="62">
        <f t="shared" si="21"/>
        <v>0</v>
      </c>
      <c r="AD169" s="62">
        <f t="shared" si="17"/>
        <v>0</v>
      </c>
      <c r="AE169" s="64"/>
      <c r="AF169" s="65"/>
      <c r="AG169" s="20"/>
      <c r="AH169" s="29"/>
      <c r="AI169" s="17"/>
    </row>
    <row r="170" spans="1:35" x14ac:dyDescent="0.25">
      <c r="A170" s="62"/>
      <c r="B170" s="17"/>
      <c r="C170" s="31"/>
      <c r="D170" s="17"/>
      <c r="E170" s="30"/>
      <c r="F170" s="17"/>
      <c r="G170" s="18"/>
      <c r="H170" s="19"/>
      <c r="I170" s="17"/>
      <c r="J170" s="20"/>
      <c r="K170" s="58"/>
      <c r="L170" s="59"/>
      <c r="M170" s="59"/>
      <c r="N170" s="59"/>
      <c r="O170" s="60">
        <f t="shared" si="23"/>
        <v>0</v>
      </c>
      <c r="P170" s="59"/>
      <c r="Q170" s="59"/>
      <c r="R170" s="61"/>
      <c r="S170" s="61"/>
      <c r="T170" s="61"/>
      <c r="U170" s="61"/>
      <c r="V170" s="61"/>
      <c r="W170" s="62"/>
      <c r="X170" s="63"/>
      <c r="Y170" s="62">
        <f t="shared" si="18"/>
        <v>0</v>
      </c>
      <c r="Z170" s="62">
        <f t="shared" si="19"/>
        <v>0</v>
      </c>
      <c r="AA170" s="63">
        <f t="shared" si="20"/>
        <v>0</v>
      </c>
      <c r="AB170" s="63">
        <f t="shared" si="22"/>
        <v>0</v>
      </c>
      <c r="AC170" s="62">
        <f t="shared" si="21"/>
        <v>0</v>
      </c>
      <c r="AD170" s="62">
        <f t="shared" si="17"/>
        <v>0</v>
      </c>
      <c r="AE170" s="64"/>
      <c r="AF170" s="65"/>
      <c r="AG170" s="20"/>
      <c r="AH170" s="29"/>
      <c r="AI170" s="17"/>
    </row>
    <row r="171" spans="1:35" x14ac:dyDescent="0.25">
      <c r="A171" s="62"/>
      <c r="B171" s="17"/>
      <c r="C171" s="31"/>
      <c r="D171" s="17"/>
      <c r="E171" s="30"/>
      <c r="F171" s="17"/>
      <c r="G171" s="18"/>
      <c r="H171" s="19"/>
      <c r="I171" s="17"/>
      <c r="J171" s="20"/>
      <c r="K171" s="58"/>
      <c r="L171" s="59"/>
      <c r="M171" s="59"/>
      <c r="N171" s="59"/>
      <c r="O171" s="60">
        <f t="shared" si="23"/>
        <v>0</v>
      </c>
      <c r="P171" s="59"/>
      <c r="Q171" s="59"/>
      <c r="R171" s="61"/>
      <c r="S171" s="61"/>
      <c r="T171" s="61"/>
      <c r="U171" s="61"/>
      <c r="V171" s="61"/>
      <c r="W171" s="62"/>
      <c r="X171" s="63"/>
      <c r="Y171" s="62">
        <f t="shared" si="18"/>
        <v>0</v>
      </c>
      <c r="Z171" s="62">
        <f t="shared" si="19"/>
        <v>0</v>
      </c>
      <c r="AA171" s="63">
        <f t="shared" si="20"/>
        <v>0</v>
      </c>
      <c r="AB171" s="63">
        <f t="shared" si="22"/>
        <v>0</v>
      </c>
      <c r="AC171" s="62">
        <f t="shared" si="21"/>
        <v>0</v>
      </c>
      <c r="AD171" s="62">
        <f t="shared" ref="AD171:AD195" si="24">G171</f>
        <v>0</v>
      </c>
      <c r="AE171" s="64"/>
      <c r="AF171" s="65"/>
      <c r="AG171" s="20"/>
      <c r="AH171" s="29"/>
      <c r="AI171" s="17"/>
    </row>
    <row r="172" spans="1:35" x14ac:dyDescent="0.25">
      <c r="A172" s="62"/>
      <c r="B172" s="17"/>
      <c r="C172" s="31"/>
      <c r="D172" s="17"/>
      <c r="E172" s="30"/>
      <c r="F172" s="17"/>
      <c r="G172" s="18"/>
      <c r="H172" s="19"/>
      <c r="I172" s="17"/>
      <c r="J172" s="20"/>
      <c r="K172" s="58"/>
      <c r="L172" s="59"/>
      <c r="M172" s="59"/>
      <c r="N172" s="59"/>
      <c r="O172" s="60">
        <f t="shared" si="23"/>
        <v>0</v>
      </c>
      <c r="P172" s="59"/>
      <c r="Q172" s="59"/>
      <c r="R172" s="61"/>
      <c r="S172" s="61"/>
      <c r="T172" s="61"/>
      <c r="U172" s="61"/>
      <c r="V172" s="61"/>
      <c r="W172" s="62"/>
      <c r="X172" s="63"/>
      <c r="Y172" s="62">
        <f t="shared" si="18"/>
        <v>0</v>
      </c>
      <c r="Z172" s="62">
        <f t="shared" si="19"/>
        <v>0</v>
      </c>
      <c r="AA172" s="63">
        <f t="shared" si="20"/>
        <v>0</v>
      </c>
      <c r="AB172" s="63">
        <f t="shared" si="22"/>
        <v>0</v>
      </c>
      <c r="AC172" s="62">
        <f t="shared" si="21"/>
        <v>0</v>
      </c>
      <c r="AD172" s="62">
        <f t="shared" si="24"/>
        <v>0</v>
      </c>
      <c r="AE172" s="64"/>
      <c r="AF172" s="65"/>
      <c r="AG172" s="20"/>
      <c r="AH172" s="29"/>
      <c r="AI172" s="17"/>
    </row>
    <row r="173" spans="1:35" x14ac:dyDescent="0.25">
      <c r="A173" s="62"/>
      <c r="B173" s="17"/>
      <c r="C173" s="31"/>
      <c r="D173" s="17"/>
      <c r="E173" s="30"/>
      <c r="F173" s="17"/>
      <c r="G173" s="18"/>
      <c r="H173" s="19"/>
      <c r="I173" s="17"/>
      <c r="J173" s="20"/>
      <c r="K173" s="58"/>
      <c r="L173" s="59"/>
      <c r="M173" s="59"/>
      <c r="N173" s="59"/>
      <c r="O173" s="60">
        <f t="shared" si="23"/>
        <v>0</v>
      </c>
      <c r="P173" s="59"/>
      <c r="Q173" s="59"/>
      <c r="R173" s="61"/>
      <c r="S173" s="61"/>
      <c r="T173" s="61"/>
      <c r="U173" s="61"/>
      <c r="V173" s="61"/>
      <c r="W173" s="62"/>
      <c r="X173" s="63"/>
      <c r="Y173" s="62">
        <f t="shared" si="18"/>
        <v>0</v>
      </c>
      <c r="Z173" s="62">
        <f t="shared" si="19"/>
        <v>0</v>
      </c>
      <c r="AA173" s="63">
        <f t="shared" si="20"/>
        <v>0</v>
      </c>
      <c r="AB173" s="63">
        <f t="shared" si="22"/>
        <v>0</v>
      </c>
      <c r="AC173" s="62">
        <f t="shared" si="21"/>
        <v>0</v>
      </c>
      <c r="AD173" s="62">
        <f t="shared" si="24"/>
        <v>0</v>
      </c>
      <c r="AE173" s="64"/>
      <c r="AF173" s="65"/>
      <c r="AG173" s="20"/>
      <c r="AH173" s="29"/>
      <c r="AI173" s="17"/>
    </row>
    <row r="174" spans="1:35" x14ac:dyDescent="0.25">
      <c r="A174" s="62"/>
      <c r="B174" s="17"/>
      <c r="C174" s="31"/>
      <c r="D174" s="17"/>
      <c r="E174" s="30"/>
      <c r="F174" s="17"/>
      <c r="G174" s="18"/>
      <c r="H174" s="19"/>
      <c r="I174" s="17"/>
      <c r="J174" s="20"/>
      <c r="K174" s="58"/>
      <c r="L174" s="59"/>
      <c r="M174" s="59"/>
      <c r="N174" s="59"/>
      <c r="O174" s="60">
        <f t="shared" si="23"/>
        <v>0</v>
      </c>
      <c r="P174" s="59"/>
      <c r="Q174" s="59"/>
      <c r="R174" s="61"/>
      <c r="S174" s="61"/>
      <c r="T174" s="61"/>
      <c r="U174" s="61"/>
      <c r="V174" s="61"/>
      <c r="W174" s="62"/>
      <c r="X174" s="63"/>
      <c r="Y174" s="62">
        <f t="shared" si="18"/>
        <v>0</v>
      </c>
      <c r="Z174" s="62">
        <f t="shared" si="19"/>
        <v>0</v>
      </c>
      <c r="AA174" s="63">
        <f t="shared" si="20"/>
        <v>0</v>
      </c>
      <c r="AB174" s="63">
        <f t="shared" si="22"/>
        <v>0</v>
      </c>
      <c r="AC174" s="62">
        <f t="shared" si="21"/>
        <v>0</v>
      </c>
      <c r="AD174" s="62">
        <f t="shared" si="24"/>
        <v>0</v>
      </c>
      <c r="AE174" s="64"/>
      <c r="AF174" s="65"/>
      <c r="AG174" s="20"/>
      <c r="AH174" s="29"/>
      <c r="AI174" s="17"/>
    </row>
    <row r="175" spans="1:35" x14ac:dyDescent="0.25">
      <c r="A175" s="62"/>
      <c r="B175" s="17"/>
      <c r="C175" s="31"/>
      <c r="D175" s="17"/>
      <c r="E175" s="30"/>
      <c r="F175" s="17"/>
      <c r="G175" s="18"/>
      <c r="H175" s="19"/>
      <c r="I175" s="17"/>
      <c r="J175" s="20"/>
      <c r="K175" s="58"/>
      <c r="L175" s="59"/>
      <c r="M175" s="59"/>
      <c r="N175" s="59"/>
      <c r="O175" s="60">
        <f t="shared" si="23"/>
        <v>0</v>
      </c>
      <c r="P175" s="59"/>
      <c r="Q175" s="59"/>
      <c r="R175" s="61"/>
      <c r="S175" s="61"/>
      <c r="T175" s="61"/>
      <c r="U175" s="61"/>
      <c r="V175" s="61"/>
      <c r="W175" s="62"/>
      <c r="X175" s="63"/>
      <c r="Y175" s="62">
        <f t="shared" si="18"/>
        <v>0</v>
      </c>
      <c r="Z175" s="62">
        <f t="shared" si="19"/>
        <v>0</v>
      </c>
      <c r="AA175" s="63">
        <f t="shared" si="20"/>
        <v>0</v>
      </c>
      <c r="AB175" s="63">
        <f t="shared" si="22"/>
        <v>0</v>
      </c>
      <c r="AC175" s="62">
        <f t="shared" si="21"/>
        <v>0</v>
      </c>
      <c r="AD175" s="62">
        <f t="shared" si="24"/>
        <v>0</v>
      </c>
      <c r="AE175" s="64"/>
      <c r="AF175" s="65"/>
      <c r="AG175" s="20"/>
      <c r="AH175" s="29"/>
      <c r="AI175" s="17"/>
    </row>
    <row r="176" spans="1:35" x14ac:dyDescent="0.25">
      <c r="A176" s="62"/>
      <c r="B176" s="17"/>
      <c r="C176" s="31"/>
      <c r="D176" s="17"/>
      <c r="E176" s="30"/>
      <c r="F176" s="17"/>
      <c r="G176" s="18"/>
      <c r="H176" s="19"/>
      <c r="I176" s="17"/>
      <c r="J176" s="20"/>
      <c r="K176" s="58"/>
      <c r="L176" s="59"/>
      <c r="M176" s="59"/>
      <c r="N176" s="59"/>
      <c r="O176" s="60">
        <f t="shared" si="23"/>
        <v>0</v>
      </c>
      <c r="P176" s="59"/>
      <c r="Q176" s="59"/>
      <c r="R176" s="61"/>
      <c r="S176" s="61"/>
      <c r="T176" s="61"/>
      <c r="U176" s="61"/>
      <c r="V176" s="61"/>
      <c r="W176" s="62"/>
      <c r="X176" s="63"/>
      <c r="Y176" s="62">
        <f t="shared" si="18"/>
        <v>0</v>
      </c>
      <c r="Z176" s="62">
        <f t="shared" si="19"/>
        <v>0</v>
      </c>
      <c r="AA176" s="63">
        <f t="shared" si="20"/>
        <v>0</v>
      </c>
      <c r="AB176" s="63">
        <f t="shared" si="22"/>
        <v>0</v>
      </c>
      <c r="AC176" s="62">
        <f t="shared" si="21"/>
        <v>0</v>
      </c>
      <c r="AD176" s="62">
        <f t="shared" si="24"/>
        <v>0</v>
      </c>
      <c r="AE176" s="64"/>
      <c r="AF176" s="65"/>
      <c r="AG176" s="20"/>
      <c r="AH176" s="29"/>
      <c r="AI176" s="17"/>
    </row>
    <row r="177" spans="1:35" x14ac:dyDescent="0.25">
      <c r="A177" s="62"/>
      <c r="B177" s="17"/>
      <c r="C177" s="31"/>
      <c r="D177" s="17"/>
      <c r="E177" s="30"/>
      <c r="F177" s="17"/>
      <c r="G177" s="18"/>
      <c r="H177" s="19"/>
      <c r="I177" s="17"/>
      <c r="J177" s="20"/>
      <c r="K177" s="58"/>
      <c r="L177" s="59"/>
      <c r="M177" s="59"/>
      <c r="N177" s="59"/>
      <c r="O177" s="60">
        <f t="shared" si="23"/>
        <v>0</v>
      </c>
      <c r="P177" s="59"/>
      <c r="Q177" s="59"/>
      <c r="R177" s="61"/>
      <c r="S177" s="61"/>
      <c r="T177" s="61"/>
      <c r="U177" s="61"/>
      <c r="V177" s="61"/>
      <c r="W177" s="62"/>
      <c r="X177" s="63"/>
      <c r="Y177" s="62">
        <f t="shared" si="18"/>
        <v>0</v>
      </c>
      <c r="Z177" s="62">
        <f t="shared" si="19"/>
        <v>0</v>
      </c>
      <c r="AA177" s="63">
        <f t="shared" si="20"/>
        <v>0</v>
      </c>
      <c r="AB177" s="63">
        <f t="shared" si="22"/>
        <v>0</v>
      </c>
      <c r="AC177" s="62">
        <f t="shared" si="21"/>
        <v>0</v>
      </c>
      <c r="AD177" s="62">
        <f t="shared" si="24"/>
        <v>0</v>
      </c>
      <c r="AE177" s="64"/>
      <c r="AF177" s="65"/>
      <c r="AG177" s="20"/>
      <c r="AH177" s="29"/>
      <c r="AI177" s="17"/>
    </row>
    <row r="178" spans="1:35" x14ac:dyDescent="0.25">
      <c r="A178" s="62"/>
      <c r="B178" s="17"/>
      <c r="C178" s="31"/>
      <c r="D178" s="17"/>
      <c r="E178" s="30"/>
      <c r="F178" s="17"/>
      <c r="G178" s="18"/>
      <c r="H178" s="19"/>
      <c r="I178" s="17"/>
      <c r="J178" s="20"/>
      <c r="K178" s="58"/>
      <c r="L178" s="59"/>
      <c r="M178" s="59"/>
      <c r="N178" s="59"/>
      <c r="O178" s="60">
        <f t="shared" si="23"/>
        <v>0</v>
      </c>
      <c r="P178" s="59"/>
      <c r="Q178" s="59"/>
      <c r="R178" s="61"/>
      <c r="S178" s="61"/>
      <c r="T178" s="61"/>
      <c r="U178" s="61"/>
      <c r="V178" s="61"/>
      <c r="W178" s="62"/>
      <c r="X178" s="63"/>
      <c r="Y178" s="62">
        <f t="shared" si="18"/>
        <v>0</v>
      </c>
      <c r="Z178" s="62">
        <f t="shared" si="19"/>
        <v>0</v>
      </c>
      <c r="AA178" s="63">
        <f t="shared" si="20"/>
        <v>0</v>
      </c>
      <c r="AB178" s="63">
        <f t="shared" si="22"/>
        <v>0</v>
      </c>
      <c r="AC178" s="62">
        <f t="shared" si="21"/>
        <v>0</v>
      </c>
      <c r="AD178" s="62">
        <f t="shared" si="24"/>
        <v>0</v>
      </c>
      <c r="AE178" s="64"/>
      <c r="AF178" s="65"/>
      <c r="AG178" s="20"/>
      <c r="AH178" s="29"/>
      <c r="AI178" s="17"/>
    </row>
    <row r="179" spans="1:35" x14ac:dyDescent="0.25">
      <c r="A179" s="62"/>
      <c r="B179" s="17"/>
      <c r="C179" s="31"/>
      <c r="D179" s="17"/>
      <c r="E179" s="30"/>
      <c r="F179" s="17"/>
      <c r="G179" s="18"/>
      <c r="H179" s="19"/>
      <c r="I179" s="17"/>
      <c r="J179" s="20"/>
      <c r="K179" s="58"/>
      <c r="L179" s="59"/>
      <c r="M179" s="59"/>
      <c r="N179" s="59"/>
      <c r="O179" s="60">
        <f t="shared" si="23"/>
        <v>0</v>
      </c>
      <c r="P179" s="59"/>
      <c r="Q179" s="59"/>
      <c r="R179" s="61"/>
      <c r="S179" s="61"/>
      <c r="T179" s="61"/>
      <c r="U179" s="61"/>
      <c r="V179" s="61"/>
      <c r="W179" s="62"/>
      <c r="X179" s="63"/>
      <c r="Y179" s="62">
        <f t="shared" si="18"/>
        <v>0</v>
      </c>
      <c r="Z179" s="62">
        <f t="shared" si="19"/>
        <v>0</v>
      </c>
      <c r="AA179" s="63">
        <f t="shared" si="20"/>
        <v>0</v>
      </c>
      <c r="AB179" s="63">
        <f t="shared" si="22"/>
        <v>0</v>
      </c>
      <c r="AC179" s="62">
        <f t="shared" si="21"/>
        <v>0</v>
      </c>
      <c r="AD179" s="62">
        <f t="shared" si="24"/>
        <v>0</v>
      </c>
      <c r="AE179" s="64"/>
      <c r="AF179" s="65"/>
      <c r="AG179" s="20"/>
      <c r="AH179" s="29"/>
      <c r="AI179" s="17"/>
    </row>
    <row r="180" spans="1:35" x14ac:dyDescent="0.25">
      <c r="A180" s="62"/>
      <c r="B180" s="17"/>
      <c r="C180" s="31"/>
      <c r="D180" s="17"/>
      <c r="E180" s="30"/>
      <c r="F180" s="17"/>
      <c r="G180" s="18"/>
      <c r="H180" s="19"/>
      <c r="I180" s="17"/>
      <c r="J180" s="20"/>
      <c r="K180" s="58"/>
      <c r="L180" s="59"/>
      <c r="M180" s="59"/>
      <c r="N180" s="59"/>
      <c r="O180" s="60">
        <f t="shared" si="23"/>
        <v>0</v>
      </c>
      <c r="P180" s="59"/>
      <c r="Q180" s="59"/>
      <c r="R180" s="61"/>
      <c r="S180" s="61"/>
      <c r="T180" s="61"/>
      <c r="U180" s="61"/>
      <c r="V180" s="61"/>
      <c r="W180" s="62"/>
      <c r="X180" s="63"/>
      <c r="Y180" s="62">
        <f t="shared" si="18"/>
        <v>0</v>
      </c>
      <c r="Z180" s="62">
        <f t="shared" si="19"/>
        <v>0</v>
      </c>
      <c r="AA180" s="63">
        <f t="shared" si="20"/>
        <v>0</v>
      </c>
      <c r="AB180" s="63">
        <f t="shared" si="22"/>
        <v>0</v>
      </c>
      <c r="AC180" s="62">
        <f t="shared" si="21"/>
        <v>0</v>
      </c>
      <c r="AD180" s="62">
        <f t="shared" si="24"/>
        <v>0</v>
      </c>
      <c r="AE180" s="64"/>
      <c r="AF180" s="65"/>
      <c r="AG180" s="20"/>
      <c r="AH180" s="29"/>
      <c r="AI180" s="17"/>
    </row>
    <row r="181" spans="1:35" x14ac:dyDescent="0.25">
      <c r="A181" s="62"/>
      <c r="B181" s="17"/>
      <c r="C181" s="31"/>
      <c r="D181" s="17"/>
      <c r="E181" s="30"/>
      <c r="F181" s="17"/>
      <c r="G181" s="18"/>
      <c r="H181" s="19"/>
      <c r="I181" s="17"/>
      <c r="J181" s="20"/>
      <c r="K181" s="58"/>
      <c r="L181" s="59"/>
      <c r="M181" s="59"/>
      <c r="N181" s="59"/>
      <c r="O181" s="60">
        <f t="shared" si="23"/>
        <v>0</v>
      </c>
      <c r="P181" s="59"/>
      <c r="Q181" s="59"/>
      <c r="R181" s="61"/>
      <c r="S181" s="61"/>
      <c r="T181" s="61"/>
      <c r="U181" s="61"/>
      <c r="V181" s="61"/>
      <c r="W181" s="62"/>
      <c r="X181" s="63"/>
      <c r="Y181" s="62">
        <f t="shared" si="18"/>
        <v>0</v>
      </c>
      <c r="Z181" s="62">
        <f t="shared" si="19"/>
        <v>0</v>
      </c>
      <c r="AA181" s="63">
        <f t="shared" si="20"/>
        <v>0</v>
      </c>
      <c r="AB181" s="63">
        <f t="shared" si="22"/>
        <v>0</v>
      </c>
      <c r="AC181" s="62">
        <f t="shared" si="21"/>
        <v>0</v>
      </c>
      <c r="AD181" s="62">
        <f t="shared" si="24"/>
        <v>0</v>
      </c>
      <c r="AE181" s="64"/>
      <c r="AF181" s="65"/>
      <c r="AG181" s="20"/>
      <c r="AH181" s="29"/>
      <c r="AI181" s="17"/>
    </row>
    <row r="182" spans="1:35" x14ac:dyDescent="0.25">
      <c r="A182" s="62"/>
      <c r="B182" s="17"/>
      <c r="C182" s="31"/>
      <c r="D182" s="17"/>
      <c r="E182" s="30"/>
      <c r="F182" s="17"/>
      <c r="G182" s="18"/>
      <c r="H182" s="19"/>
      <c r="I182" s="17"/>
      <c r="J182" s="20"/>
      <c r="K182" s="58"/>
      <c r="L182" s="59"/>
      <c r="M182" s="59"/>
      <c r="N182" s="59"/>
      <c r="O182" s="60">
        <f t="shared" si="23"/>
        <v>0</v>
      </c>
      <c r="P182" s="59"/>
      <c r="Q182" s="59"/>
      <c r="R182" s="61"/>
      <c r="S182" s="61"/>
      <c r="T182" s="61"/>
      <c r="U182" s="61"/>
      <c r="V182" s="61"/>
      <c r="W182" s="62"/>
      <c r="X182" s="63"/>
      <c r="Y182" s="62">
        <f t="shared" si="18"/>
        <v>0</v>
      </c>
      <c r="Z182" s="62">
        <f t="shared" si="19"/>
        <v>0</v>
      </c>
      <c r="AA182" s="63">
        <f t="shared" si="20"/>
        <v>0</v>
      </c>
      <c r="AB182" s="63">
        <f t="shared" si="22"/>
        <v>0</v>
      </c>
      <c r="AC182" s="62">
        <f t="shared" si="21"/>
        <v>0</v>
      </c>
      <c r="AD182" s="62">
        <f t="shared" si="24"/>
        <v>0</v>
      </c>
      <c r="AE182" s="64"/>
      <c r="AF182" s="65"/>
      <c r="AG182" s="20"/>
      <c r="AH182" s="29"/>
      <c r="AI182" s="17"/>
    </row>
    <row r="183" spans="1:35" x14ac:dyDescent="0.25">
      <c r="A183" s="62"/>
      <c r="B183" s="17"/>
      <c r="C183" s="31"/>
      <c r="D183" s="17"/>
      <c r="E183" s="30"/>
      <c r="F183" s="17"/>
      <c r="G183" s="18"/>
      <c r="H183" s="19"/>
      <c r="I183" s="17"/>
      <c r="J183" s="20"/>
      <c r="K183" s="58"/>
      <c r="L183" s="59"/>
      <c r="M183" s="59"/>
      <c r="N183" s="59"/>
      <c r="O183" s="60">
        <f t="shared" si="23"/>
        <v>0</v>
      </c>
      <c r="P183" s="59"/>
      <c r="Q183" s="59"/>
      <c r="R183" s="61"/>
      <c r="S183" s="61"/>
      <c r="T183" s="61"/>
      <c r="U183" s="61"/>
      <c r="V183" s="61"/>
      <c r="W183" s="62"/>
      <c r="X183" s="63"/>
      <c r="Y183" s="62">
        <f t="shared" si="18"/>
        <v>0</v>
      </c>
      <c r="Z183" s="62">
        <f t="shared" si="19"/>
        <v>0</v>
      </c>
      <c r="AA183" s="63">
        <f t="shared" si="20"/>
        <v>0</v>
      </c>
      <c r="AB183" s="63">
        <f t="shared" si="22"/>
        <v>0</v>
      </c>
      <c r="AC183" s="62">
        <f t="shared" si="21"/>
        <v>0</v>
      </c>
      <c r="AD183" s="62">
        <f t="shared" si="24"/>
        <v>0</v>
      </c>
      <c r="AE183" s="64"/>
      <c r="AF183" s="65"/>
      <c r="AG183" s="20"/>
      <c r="AH183" s="29"/>
      <c r="AI183" s="17"/>
    </row>
    <row r="184" spans="1:35" x14ac:dyDescent="0.25">
      <c r="A184" s="62"/>
      <c r="B184" s="17"/>
      <c r="C184" s="31"/>
      <c r="D184" s="17"/>
      <c r="E184" s="30"/>
      <c r="F184" s="17"/>
      <c r="G184" s="18"/>
      <c r="H184" s="19"/>
      <c r="I184" s="17"/>
      <c r="J184" s="20"/>
      <c r="K184" s="58"/>
      <c r="L184" s="59"/>
      <c r="M184" s="59"/>
      <c r="N184" s="59"/>
      <c r="O184" s="60">
        <f t="shared" si="23"/>
        <v>0</v>
      </c>
      <c r="P184" s="59"/>
      <c r="Q184" s="59"/>
      <c r="R184" s="61"/>
      <c r="S184" s="61"/>
      <c r="T184" s="61"/>
      <c r="U184" s="61"/>
      <c r="V184" s="61"/>
      <c r="W184" s="62"/>
      <c r="X184" s="63"/>
      <c r="Y184" s="62">
        <f t="shared" si="18"/>
        <v>0</v>
      </c>
      <c r="Z184" s="62">
        <f t="shared" si="19"/>
        <v>0</v>
      </c>
      <c r="AA184" s="63">
        <f t="shared" si="20"/>
        <v>0</v>
      </c>
      <c r="AB184" s="63">
        <f t="shared" si="22"/>
        <v>0</v>
      </c>
      <c r="AC184" s="62">
        <f t="shared" si="21"/>
        <v>0</v>
      </c>
      <c r="AD184" s="62">
        <f t="shared" si="24"/>
        <v>0</v>
      </c>
      <c r="AE184" s="64"/>
      <c r="AF184" s="65"/>
      <c r="AG184" s="20"/>
      <c r="AH184" s="29"/>
      <c r="AI184" s="17"/>
    </row>
    <row r="185" spans="1:35" x14ac:dyDescent="0.25">
      <c r="A185" s="62"/>
      <c r="B185" s="17"/>
      <c r="C185" s="31"/>
      <c r="D185" s="17"/>
      <c r="E185" s="30"/>
      <c r="F185" s="17"/>
      <c r="G185" s="18"/>
      <c r="H185" s="19"/>
      <c r="I185" s="17"/>
      <c r="J185" s="20"/>
      <c r="K185" s="58"/>
      <c r="L185" s="59"/>
      <c r="M185" s="59"/>
      <c r="N185" s="59"/>
      <c r="O185" s="60">
        <f t="shared" si="23"/>
        <v>0</v>
      </c>
      <c r="P185" s="59"/>
      <c r="Q185" s="59"/>
      <c r="R185" s="61"/>
      <c r="S185" s="61"/>
      <c r="T185" s="61"/>
      <c r="U185" s="61"/>
      <c r="V185" s="61"/>
      <c r="W185" s="62"/>
      <c r="X185" s="63"/>
      <c r="Y185" s="62">
        <f t="shared" si="18"/>
        <v>0</v>
      </c>
      <c r="Z185" s="62">
        <f t="shared" si="19"/>
        <v>0</v>
      </c>
      <c r="AA185" s="63">
        <f t="shared" si="20"/>
        <v>0</v>
      </c>
      <c r="AB185" s="63">
        <f t="shared" si="22"/>
        <v>0</v>
      </c>
      <c r="AC185" s="62">
        <f t="shared" si="21"/>
        <v>0</v>
      </c>
      <c r="AD185" s="62">
        <f t="shared" si="24"/>
        <v>0</v>
      </c>
      <c r="AE185" s="64"/>
      <c r="AF185" s="65"/>
      <c r="AG185" s="20"/>
      <c r="AH185" s="29"/>
      <c r="AI185" s="17"/>
    </row>
    <row r="186" spans="1:35" x14ac:dyDescent="0.25">
      <c r="A186" s="62"/>
      <c r="B186" s="17"/>
      <c r="C186" s="31"/>
      <c r="D186" s="17"/>
      <c r="E186" s="30"/>
      <c r="F186" s="17"/>
      <c r="G186" s="18"/>
      <c r="H186" s="19"/>
      <c r="I186" s="17"/>
      <c r="J186" s="20"/>
      <c r="K186" s="58"/>
      <c r="L186" s="59"/>
      <c r="M186" s="59"/>
      <c r="N186" s="59"/>
      <c r="O186" s="60">
        <f t="shared" si="23"/>
        <v>0</v>
      </c>
      <c r="P186" s="59"/>
      <c r="Q186" s="59"/>
      <c r="R186" s="61"/>
      <c r="S186" s="61"/>
      <c r="T186" s="61"/>
      <c r="U186" s="61"/>
      <c r="V186" s="61"/>
      <c r="W186" s="62"/>
      <c r="X186" s="63"/>
      <c r="Y186" s="62">
        <f t="shared" si="18"/>
        <v>0</v>
      </c>
      <c r="Z186" s="62">
        <f t="shared" si="19"/>
        <v>0</v>
      </c>
      <c r="AA186" s="63">
        <f t="shared" si="20"/>
        <v>0</v>
      </c>
      <c r="AB186" s="63">
        <f t="shared" si="22"/>
        <v>0</v>
      </c>
      <c r="AC186" s="62">
        <f t="shared" si="21"/>
        <v>0</v>
      </c>
      <c r="AD186" s="62">
        <f t="shared" si="24"/>
        <v>0</v>
      </c>
      <c r="AE186" s="64"/>
      <c r="AF186" s="65"/>
      <c r="AG186" s="20"/>
      <c r="AH186" s="29"/>
      <c r="AI186" s="17"/>
    </row>
    <row r="187" spans="1:35" x14ac:dyDescent="0.25">
      <c r="A187" s="62"/>
      <c r="B187" s="17"/>
      <c r="C187" s="31"/>
      <c r="D187" s="17"/>
      <c r="E187" s="30"/>
      <c r="F187" s="17"/>
      <c r="G187" s="18"/>
      <c r="H187" s="19"/>
      <c r="I187" s="17"/>
      <c r="J187" s="20"/>
      <c r="K187" s="58"/>
      <c r="L187" s="59"/>
      <c r="M187" s="59"/>
      <c r="N187" s="59"/>
      <c r="O187" s="60">
        <f t="shared" si="23"/>
        <v>0</v>
      </c>
      <c r="P187" s="59"/>
      <c r="Q187" s="59"/>
      <c r="R187" s="61"/>
      <c r="S187" s="61"/>
      <c r="T187" s="61"/>
      <c r="U187" s="61"/>
      <c r="V187" s="61"/>
      <c r="W187" s="62"/>
      <c r="X187" s="63"/>
      <c r="Y187" s="62">
        <f t="shared" si="18"/>
        <v>0</v>
      </c>
      <c r="Z187" s="62">
        <f t="shared" si="19"/>
        <v>0</v>
      </c>
      <c r="AA187" s="63">
        <f t="shared" si="20"/>
        <v>0</v>
      </c>
      <c r="AB187" s="63">
        <f t="shared" si="22"/>
        <v>0</v>
      </c>
      <c r="AC187" s="62">
        <f t="shared" si="21"/>
        <v>0</v>
      </c>
      <c r="AD187" s="62">
        <f t="shared" si="24"/>
        <v>0</v>
      </c>
      <c r="AE187" s="64"/>
      <c r="AF187" s="65"/>
      <c r="AG187" s="20"/>
      <c r="AH187" s="29"/>
      <c r="AI187" s="17"/>
    </row>
    <row r="188" spans="1:35" x14ac:dyDescent="0.25">
      <c r="A188" s="62"/>
      <c r="B188" s="17"/>
      <c r="C188" s="31"/>
      <c r="D188" s="17"/>
      <c r="E188" s="30"/>
      <c r="F188" s="17"/>
      <c r="G188" s="18"/>
      <c r="H188" s="19"/>
      <c r="I188" s="17"/>
      <c r="J188" s="20"/>
      <c r="K188" s="58"/>
      <c r="L188" s="59"/>
      <c r="M188" s="59"/>
      <c r="N188" s="59"/>
      <c r="O188" s="60">
        <f t="shared" si="23"/>
        <v>0</v>
      </c>
      <c r="P188" s="59"/>
      <c r="Q188" s="59"/>
      <c r="R188" s="61"/>
      <c r="S188" s="61"/>
      <c r="T188" s="61"/>
      <c r="U188" s="61"/>
      <c r="V188" s="61"/>
      <c r="W188" s="62"/>
      <c r="X188" s="63"/>
      <c r="Y188" s="62">
        <f t="shared" si="18"/>
        <v>0</v>
      </c>
      <c r="Z188" s="62">
        <f t="shared" si="19"/>
        <v>0</v>
      </c>
      <c r="AA188" s="63">
        <f t="shared" si="20"/>
        <v>0</v>
      </c>
      <c r="AB188" s="63">
        <f t="shared" si="22"/>
        <v>0</v>
      </c>
      <c r="AC188" s="62">
        <f t="shared" si="21"/>
        <v>0</v>
      </c>
      <c r="AD188" s="62">
        <f t="shared" si="24"/>
        <v>0</v>
      </c>
      <c r="AE188" s="64"/>
      <c r="AF188" s="65"/>
      <c r="AG188" s="20"/>
      <c r="AH188" s="29"/>
      <c r="AI188" s="17"/>
    </row>
    <row r="189" spans="1:35" x14ac:dyDescent="0.25">
      <c r="A189" s="62"/>
      <c r="B189" s="17"/>
      <c r="C189" s="31"/>
      <c r="D189" s="17"/>
      <c r="E189" s="30"/>
      <c r="F189" s="17"/>
      <c r="G189" s="18"/>
      <c r="H189" s="19"/>
      <c r="I189" s="17"/>
      <c r="J189" s="20"/>
      <c r="K189" s="58"/>
      <c r="L189" s="59"/>
      <c r="M189" s="59"/>
      <c r="N189" s="59"/>
      <c r="O189" s="60">
        <f t="shared" si="23"/>
        <v>0</v>
      </c>
      <c r="P189" s="59"/>
      <c r="Q189" s="59"/>
      <c r="R189" s="61"/>
      <c r="S189" s="61"/>
      <c r="T189" s="61"/>
      <c r="U189" s="61"/>
      <c r="V189" s="61"/>
      <c r="W189" s="62"/>
      <c r="X189" s="63"/>
      <c r="Y189" s="62">
        <f t="shared" si="18"/>
        <v>0</v>
      </c>
      <c r="Z189" s="62">
        <f t="shared" si="19"/>
        <v>0</v>
      </c>
      <c r="AA189" s="63">
        <f t="shared" si="20"/>
        <v>0</v>
      </c>
      <c r="AB189" s="63">
        <f t="shared" si="22"/>
        <v>0</v>
      </c>
      <c r="AC189" s="62">
        <f t="shared" si="21"/>
        <v>0</v>
      </c>
      <c r="AD189" s="62">
        <f t="shared" si="24"/>
        <v>0</v>
      </c>
      <c r="AE189" s="64"/>
      <c r="AF189" s="65"/>
      <c r="AG189" s="20"/>
      <c r="AH189" s="29"/>
      <c r="AI189" s="17"/>
    </row>
    <row r="190" spans="1:35" x14ac:dyDescent="0.25">
      <c r="A190" s="62"/>
      <c r="B190" s="17"/>
      <c r="C190" s="31"/>
      <c r="D190" s="17"/>
      <c r="E190" s="30"/>
      <c r="F190" s="17"/>
      <c r="G190" s="18"/>
      <c r="H190" s="19"/>
      <c r="I190" s="17"/>
      <c r="J190" s="20"/>
      <c r="K190" s="58"/>
      <c r="L190" s="59"/>
      <c r="M190" s="59"/>
      <c r="N190" s="59"/>
      <c r="O190" s="60">
        <f t="shared" si="23"/>
        <v>0</v>
      </c>
      <c r="P190" s="59"/>
      <c r="Q190" s="59"/>
      <c r="R190" s="61"/>
      <c r="S190" s="61"/>
      <c r="T190" s="61"/>
      <c r="U190" s="61"/>
      <c r="V190" s="61"/>
      <c r="W190" s="62"/>
      <c r="X190" s="63"/>
      <c r="Y190" s="62">
        <f t="shared" si="18"/>
        <v>0</v>
      </c>
      <c r="Z190" s="62">
        <f t="shared" si="19"/>
        <v>0</v>
      </c>
      <c r="AA190" s="63">
        <f t="shared" si="20"/>
        <v>0</v>
      </c>
      <c r="AB190" s="63">
        <f t="shared" si="22"/>
        <v>0</v>
      </c>
      <c r="AC190" s="62">
        <f t="shared" si="21"/>
        <v>0</v>
      </c>
      <c r="AD190" s="62">
        <f t="shared" si="24"/>
        <v>0</v>
      </c>
      <c r="AE190" s="64"/>
      <c r="AF190" s="65"/>
      <c r="AG190" s="20"/>
      <c r="AH190" s="29"/>
      <c r="AI190" s="17"/>
    </row>
    <row r="191" spans="1:35" x14ac:dyDescent="0.25">
      <c r="A191" s="62"/>
      <c r="B191" s="17"/>
      <c r="C191" s="31"/>
      <c r="D191" s="17"/>
      <c r="E191" s="30"/>
      <c r="F191" s="17"/>
      <c r="G191" s="18"/>
      <c r="H191" s="19"/>
      <c r="I191" s="17"/>
      <c r="J191" s="20"/>
      <c r="K191" s="58"/>
      <c r="L191" s="59"/>
      <c r="M191" s="59"/>
      <c r="N191" s="59"/>
      <c r="O191" s="60">
        <f t="shared" si="23"/>
        <v>0</v>
      </c>
      <c r="P191" s="59"/>
      <c r="Q191" s="59"/>
      <c r="R191" s="61"/>
      <c r="S191" s="61"/>
      <c r="T191" s="61"/>
      <c r="U191" s="61"/>
      <c r="V191" s="61"/>
      <c r="W191" s="62"/>
      <c r="X191" s="63"/>
      <c r="Y191" s="62">
        <f t="shared" si="18"/>
        <v>0</v>
      </c>
      <c r="Z191" s="62">
        <f t="shared" si="19"/>
        <v>0</v>
      </c>
      <c r="AA191" s="63">
        <f t="shared" si="20"/>
        <v>0</v>
      </c>
      <c r="AB191" s="63">
        <f t="shared" si="22"/>
        <v>0</v>
      </c>
      <c r="AC191" s="62">
        <f t="shared" si="21"/>
        <v>0</v>
      </c>
      <c r="AD191" s="62">
        <f t="shared" si="24"/>
        <v>0</v>
      </c>
      <c r="AE191" s="64"/>
      <c r="AF191" s="65"/>
      <c r="AG191" s="20"/>
      <c r="AH191" s="29"/>
      <c r="AI191" s="17"/>
    </row>
    <row r="192" spans="1:35" x14ac:dyDescent="0.25">
      <c r="A192" s="62"/>
      <c r="B192" s="17"/>
      <c r="C192" s="31"/>
      <c r="D192" s="17"/>
      <c r="E192" s="30"/>
      <c r="F192" s="17"/>
      <c r="G192" s="18"/>
      <c r="H192" s="19"/>
      <c r="I192" s="17"/>
      <c r="J192" s="20"/>
      <c r="K192" s="58"/>
      <c r="L192" s="59"/>
      <c r="M192" s="59"/>
      <c r="N192" s="59"/>
      <c r="O192" s="60">
        <f t="shared" si="23"/>
        <v>0</v>
      </c>
      <c r="P192" s="59"/>
      <c r="Q192" s="59"/>
      <c r="R192" s="61"/>
      <c r="S192" s="61"/>
      <c r="T192" s="61"/>
      <c r="U192" s="61"/>
      <c r="V192" s="61"/>
      <c r="W192" s="62"/>
      <c r="X192" s="63"/>
      <c r="Y192" s="62">
        <f t="shared" si="18"/>
        <v>0</v>
      </c>
      <c r="Z192" s="62">
        <f t="shared" si="19"/>
        <v>0</v>
      </c>
      <c r="AA192" s="63">
        <f t="shared" si="20"/>
        <v>0</v>
      </c>
      <c r="AB192" s="63">
        <f t="shared" si="22"/>
        <v>0</v>
      </c>
      <c r="AC192" s="62">
        <f t="shared" si="21"/>
        <v>0</v>
      </c>
      <c r="AD192" s="62">
        <f t="shared" si="24"/>
        <v>0</v>
      </c>
      <c r="AE192" s="64"/>
      <c r="AF192" s="65"/>
      <c r="AG192" s="20"/>
      <c r="AH192" s="29"/>
      <c r="AI192" s="17"/>
    </row>
    <row r="193" spans="1:35" x14ac:dyDescent="0.25">
      <c r="A193" s="62"/>
      <c r="B193" s="17"/>
      <c r="C193" s="31"/>
      <c r="D193" s="17"/>
      <c r="E193" s="30"/>
      <c r="F193" s="17"/>
      <c r="G193" s="18"/>
      <c r="H193" s="19"/>
      <c r="I193" s="17"/>
      <c r="J193" s="20"/>
      <c r="K193" s="58"/>
      <c r="L193" s="59"/>
      <c r="M193" s="59"/>
      <c r="N193" s="59"/>
      <c r="O193" s="60">
        <f t="shared" si="23"/>
        <v>0</v>
      </c>
      <c r="P193" s="59"/>
      <c r="Q193" s="59"/>
      <c r="R193" s="61"/>
      <c r="S193" s="61"/>
      <c r="T193" s="61"/>
      <c r="U193" s="61"/>
      <c r="V193" s="61"/>
      <c r="W193" s="62"/>
      <c r="X193" s="63"/>
      <c r="Y193" s="62">
        <f t="shared" si="18"/>
        <v>0</v>
      </c>
      <c r="Z193" s="62">
        <f t="shared" si="19"/>
        <v>0</v>
      </c>
      <c r="AA193" s="63">
        <f t="shared" si="20"/>
        <v>0</v>
      </c>
      <c r="AB193" s="63">
        <f t="shared" si="22"/>
        <v>0</v>
      </c>
      <c r="AC193" s="62">
        <f t="shared" si="21"/>
        <v>0</v>
      </c>
      <c r="AD193" s="62">
        <f t="shared" si="24"/>
        <v>0</v>
      </c>
      <c r="AE193" s="64"/>
      <c r="AF193" s="65"/>
      <c r="AG193" s="20"/>
      <c r="AH193" s="29"/>
      <c r="AI193" s="17"/>
    </row>
    <row r="194" spans="1:35" x14ac:dyDescent="0.25">
      <c r="A194" s="62"/>
      <c r="B194" s="17"/>
      <c r="C194" s="31"/>
      <c r="D194" s="17"/>
      <c r="E194" s="30"/>
      <c r="F194" s="17"/>
      <c r="G194" s="18"/>
      <c r="H194" s="19"/>
      <c r="I194" s="17"/>
      <c r="J194" s="20"/>
      <c r="K194" s="58"/>
      <c r="L194" s="59"/>
      <c r="M194" s="59"/>
      <c r="N194" s="59"/>
      <c r="O194" s="60">
        <f t="shared" si="23"/>
        <v>0</v>
      </c>
      <c r="P194" s="59"/>
      <c r="Q194" s="59"/>
      <c r="R194" s="61"/>
      <c r="S194" s="61"/>
      <c r="T194" s="61"/>
      <c r="U194" s="61"/>
      <c r="V194" s="61"/>
      <c r="W194" s="62"/>
      <c r="X194" s="63"/>
      <c r="Y194" s="62">
        <f t="shared" ref="Y194:Y195" si="25">D194</f>
        <v>0</v>
      </c>
      <c r="Z194" s="62">
        <f t="shared" ref="Z194:Z195" si="26">C194</f>
        <v>0</v>
      </c>
      <c r="AA194" s="63">
        <f t="shared" ref="AA194:AA195" si="27">W194</f>
        <v>0</v>
      </c>
      <c r="AB194" s="63">
        <f t="shared" si="22"/>
        <v>0</v>
      </c>
      <c r="AC194" s="62">
        <f t="shared" ref="AC194:AC195" si="28">X194</f>
        <v>0</v>
      </c>
      <c r="AD194" s="62">
        <f t="shared" si="24"/>
        <v>0</v>
      </c>
      <c r="AE194" s="64"/>
      <c r="AF194" s="65"/>
      <c r="AG194" s="20"/>
      <c r="AH194" s="29"/>
      <c r="AI194" s="17"/>
    </row>
    <row r="195" spans="1:35" x14ac:dyDescent="0.25">
      <c r="A195" s="62"/>
      <c r="B195" s="17"/>
      <c r="C195" s="31"/>
      <c r="D195" s="17"/>
      <c r="E195" s="30"/>
      <c r="F195" s="17"/>
      <c r="G195" s="18"/>
      <c r="H195" s="19"/>
      <c r="I195" s="17"/>
      <c r="J195" s="20"/>
      <c r="K195" s="58"/>
      <c r="L195" s="59"/>
      <c r="M195" s="59"/>
      <c r="N195" s="59"/>
      <c r="O195" s="60">
        <f t="shared" si="23"/>
        <v>0</v>
      </c>
      <c r="P195" s="59"/>
      <c r="Q195" s="59"/>
      <c r="R195" s="61"/>
      <c r="S195" s="61"/>
      <c r="T195" s="61"/>
      <c r="U195" s="61"/>
      <c r="V195" s="61"/>
      <c r="W195" s="62"/>
      <c r="X195" s="63"/>
      <c r="Y195" s="62">
        <f t="shared" si="25"/>
        <v>0</v>
      </c>
      <c r="Z195" s="62">
        <f t="shared" si="26"/>
        <v>0</v>
      </c>
      <c r="AA195" s="63">
        <f t="shared" si="27"/>
        <v>0</v>
      </c>
      <c r="AB195" s="63">
        <f t="shared" si="22"/>
        <v>0</v>
      </c>
      <c r="AC195" s="62">
        <f t="shared" si="28"/>
        <v>0</v>
      </c>
      <c r="AD195" s="62">
        <f t="shared" si="24"/>
        <v>0</v>
      </c>
      <c r="AE195" s="64"/>
      <c r="AF195" s="65"/>
      <c r="AG195" s="20"/>
      <c r="AH195" s="29"/>
      <c r="AI195" s="1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 Cadex</dc:creator>
  <cp:lastModifiedBy>WA Cadex</cp:lastModifiedBy>
  <dcterms:created xsi:type="dcterms:W3CDTF">2025-01-20T07:28:07Z</dcterms:created>
  <dcterms:modified xsi:type="dcterms:W3CDTF">2025-01-20T07:28:57Z</dcterms:modified>
</cp:coreProperties>
</file>